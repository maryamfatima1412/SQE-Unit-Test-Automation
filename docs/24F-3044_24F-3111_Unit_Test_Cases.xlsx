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begum\Downloads\"/>
    </mc:Choice>
  </mc:AlternateContent>
  <xr:revisionPtr revIDLastSave="0" documentId="8_{0D1933BC-0434-4124-A796-B37BFE041502}" xr6:coauthVersionLast="47" xr6:coauthVersionMax="47" xr10:uidLastSave="{00000000-0000-0000-0000-000000000000}"/>
  <bookViews>
    <workbookView xWindow="-110" yWindow="-110" windowWidth="19420" windowHeight="10300" tabRatio="500" firstSheet="2" activeTab="4" xr2:uid="{00000000-000D-0000-FFFF-FFFF00000000}"/>
  </bookViews>
  <sheets>
    <sheet name="Read Me" sheetId="1" r:id="rId1"/>
    <sheet name="Data Driven Cases" sheetId="2" r:id="rId2"/>
    <sheet name="Test Inventory" sheetId="3" r:id="rId3"/>
    <sheet name="Coverage Check" sheetId="4" r:id="rId4"/>
    <sheet name="Known Defects" sheetId="5" r:id="rId5"/>
  </sheets>
  <definedNames>
    <definedName name="_xlnm._FilterDatabase" localSheetId="2" hidden="1">'Test Inventory'!$A$1:$J$112</definedName>
  </definedName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D17" i="4" l="1"/>
  <c r="C17" i="4"/>
  <c r="E17" i="4" s="1"/>
  <c r="D14" i="4"/>
  <c r="C14" i="4"/>
  <c r="D13" i="4"/>
  <c r="C13" i="4"/>
  <c r="D12" i="4"/>
  <c r="C12" i="4"/>
  <c r="D11" i="4"/>
  <c r="C11" i="4"/>
  <c r="D10" i="4"/>
  <c r="C10" i="4"/>
  <c r="D9" i="4"/>
  <c r="C9" i="4"/>
  <c r="D8" i="4"/>
  <c r="C8" i="4"/>
  <c r="D7" i="4"/>
  <c r="C7" i="4"/>
  <c r="D6" i="4"/>
  <c r="C6" i="4"/>
  <c r="D5" i="4"/>
  <c r="C5" i="4"/>
  <c r="D4" i="4"/>
  <c r="D15" i="4" s="1"/>
  <c r="C4" i="4"/>
  <c r="F14" i="4" l="1"/>
  <c r="E14" i="4"/>
  <c r="F13" i="4"/>
  <c r="E13" i="4"/>
  <c r="F12" i="4"/>
  <c r="E12" i="4"/>
  <c r="F11" i="4"/>
  <c r="E11" i="4"/>
  <c r="F10" i="4"/>
  <c r="E10" i="4"/>
  <c r="F9" i="4"/>
  <c r="E9" i="4"/>
  <c r="F8" i="4"/>
  <c r="E8" i="4"/>
  <c r="F7" i="4"/>
  <c r="E7" i="4"/>
  <c r="F6" i="4"/>
  <c r="E6" i="4"/>
  <c r="F5" i="4"/>
  <c r="E5" i="4"/>
  <c r="C15" i="4"/>
  <c r="F4" i="4"/>
  <c r="E4" i="4"/>
  <c r="E15" i="4" l="1"/>
</calcChain>
</file>

<file path=xl/sharedStrings.xml><?xml version="1.0" encoding="utf-8"?>
<sst xmlns="http://schemas.openxmlformats.org/spreadsheetml/2006/main" count="1133" uniqueCount="462">
  <si>
    <t>Unit Test Cases - Student Portal (Assignment 3: Build Unit Test Automation Solution)</t>
  </si>
  <si>
    <t>Authors: Maryam Fatima (24F-3044) and Huda Asif (24F-3111)  |  Application under test: src/student_portal.py</t>
  </si>
  <si>
    <t>Sheet 'Data Driven Cases': the test cases that are executed from external CSV files (Task 3). The automated test tests/data_driven/test_excel_driven.py reads this sheet, opens the CSV named in column 'Test Data File' and runs every row.</t>
  </si>
  <si>
    <t>Sheet 'Test Inventory': every automated unit test function with its module, function under test, technique and owner.</t>
  </si>
  <si>
    <t>Sheet 'Coverage Check': formulas that verify the rule '5 to 10 tests per person for each function and for each class / module'.</t>
  </si>
  <si>
    <t>Sheet 'Known Defects': tests that are marked xfail because they document a real defect.</t>
  </si>
  <si>
    <t>To add a data-driven test: add a row to 'Data Driven Cases' (and a CSV in tests/data), then add a handler with the same name in tests/data_driven/test_excel_driven.py. Re-generate this workbook with: python tools/generate_excel.py</t>
  </si>
  <si>
    <t>Test Case ID</t>
  </si>
  <si>
    <t>Module</t>
  </si>
  <si>
    <t>Function Under Test</t>
  </si>
  <si>
    <t>Handler</t>
  </si>
  <si>
    <t>Technique</t>
  </si>
  <si>
    <t>Description</t>
  </si>
  <si>
    <t>Test Data File</t>
  </si>
  <si>
    <t>Data Columns</t>
  </si>
  <si>
    <t>Expected Result Rule</t>
  </si>
  <si>
    <t>Owner</t>
  </si>
  <si>
    <t>Priority</t>
  </si>
  <si>
    <t>Data Rows</t>
  </si>
  <si>
    <t>DD-01</t>
  </si>
  <si>
    <t>Module 1 - Grading</t>
  </si>
  <si>
    <t>grade_from_percentage</t>
  </si>
  <si>
    <t>BVA + ECP</t>
  </si>
  <si>
    <t>Every row of the CSV is a percentage; the grade returned must equal expected_grade (values on and next to each cut-off).</t>
  </si>
  <si>
    <t>grade_boundaries.csv</t>
  </si>
  <si>
    <t>percentage, expected_grade</t>
  </si>
  <si>
    <t>grade_from_percentage(percentage) == expected_grade</t>
  </si>
  <si>
    <t>Maryam Fatima</t>
  </si>
  <si>
    <t>High</t>
  </si>
  <si>
    <t>DD-02</t>
  </si>
  <si>
    <t>grade_color</t>
  </si>
  <si>
    <t>ECP</t>
  </si>
  <si>
    <t>Every grade (and the '-' placeholder) must map to the expected colour constant (GREEN, BLUE, ORANGE or RED).</t>
  </si>
  <si>
    <t>grade_colors.csv</t>
  </si>
  <si>
    <t>grade, expected_color</t>
  </si>
  <si>
    <t>grade_color(grade) == student_portal.&lt;expected_color&gt;</t>
  </si>
  <si>
    <t>Huda Asif</t>
  </si>
  <si>
    <t>Medium</t>
  </si>
  <si>
    <t>DD-03</t>
  </si>
  <si>
    <t>Module 3 - StudentDashboard</t>
  </si>
  <si>
    <t>StudentDashboard.overall_attendance</t>
  </si>
  <si>
    <t>overall_attendance</t>
  </si>
  <si>
    <t>ECP + BVA</t>
  </si>
  <si>
    <t>A pipe-separated list of statuses is turned into attendance records; total, present and percentage must match.</t>
  </si>
  <si>
    <t>attendance_cases.csv</t>
  </si>
  <si>
    <t>case_id, statuses, expected_total, expected_present, expected_percent</t>
  </si>
  <si>
    <t>overall_attendance(records) == (expected_total, expected_present, expected_percent)</t>
  </si>
  <si>
    <t>DD-04</t>
  </si>
  <si>
    <t>StudentDashboard.average_grade</t>
  </si>
  <si>
    <t>average_grade</t>
  </si>
  <si>
    <t>Result percentages and approval flags are turned into result records; grade, count and average must match.</t>
  </si>
  <si>
    <t>average_grade_cases.csv</t>
  </si>
  <si>
    <t>case_id, percentages, approved, expected_grade, expected_count, expected_average</t>
  </si>
  <si>
    <t>average_grade(records) == (expected_grade, expected_count, expected_average)</t>
  </si>
  <si>
    <t>DD-05</t>
  </si>
  <si>
    <t>Module 2 - Storage</t>
  </si>
  <si>
    <t>Storage.set / Storage.get</t>
  </si>
  <si>
    <t>storage_round_trip</t>
  </si>
  <si>
    <t>A JSON value is saved with set(), the application is 'restarted' (new Storage) and get() must return the same value.</t>
  </si>
  <si>
    <t>storage_roundtrip.csv</t>
  </si>
  <si>
    <t>case_id, key, json_value</t>
  </si>
  <si>
    <t>Storage().get(key) == json.loads(json_value) after set()</t>
  </si>
  <si>
    <t>Test ID</t>
  </si>
  <si>
    <t>Function / Class Under Test</t>
  </si>
  <si>
    <t>Test Function</t>
  </si>
  <si>
    <t>What it checks</t>
  </si>
  <si>
    <t>Executed Cases</t>
  </si>
  <si>
    <t>Markers (groups)</t>
  </si>
  <si>
    <t>File</t>
  </si>
  <si>
    <t>UT-001</t>
  </si>
  <si>
    <t>grade_from_percentage()</t>
  </si>
  <si>
    <t>test_negative_percentage_is_graded_f</t>
  </si>
  <si>
    <t>Values below the valid range 0..100 currently return F (no validation).</t>
  </si>
  <si>
    <t>ECP-invalid</t>
  </si>
  <si>
    <t>negative</t>
  </si>
  <si>
    <t>tests/unit/grading/test_grading_huda.py</t>
  </si>
  <si>
    <t>UT-002</t>
  </si>
  <si>
    <t>test_percentage_above_100_is_graded_a_plus</t>
  </si>
  <si>
    <t>Values above 100 currently return A+ (there is no upper limit check).</t>
  </si>
  <si>
    <t>UT-003</t>
  </si>
  <si>
    <t>test_floating_point_values_next_to_a_cutoff</t>
  </si>
  <si>
    <t>Tiny differences around the 90 cut-off decide the grade correctly.</t>
  </si>
  <si>
    <t>BVA</t>
  </si>
  <si>
    <t>boundary</t>
  </si>
  <si>
    <t>UT-004</t>
  </si>
  <si>
    <t>test_nan_is_graded_f_without_an_error</t>
  </si>
  <si>
    <t>NaN fails every comparison, so it silently becomes F.</t>
  </si>
  <si>
    <t>EG</t>
  </si>
  <si>
    <t>UT-005</t>
  </si>
  <si>
    <t>test_non_numeric_input_raises_type_error</t>
  </si>
  <si>
    <t>None, text, list and dict are not numbers and raise TypeError.</t>
  </si>
  <si>
    <t>UT-006</t>
  </si>
  <si>
    <t>grade_color()</t>
  </si>
  <si>
    <t>test_placeholder_or_empty_grade_is_red</t>
  </si>
  <si>
    <t>The '-' shown before marks are entered, and '', fall through to RED.</t>
  </si>
  <si>
    <t>UT-007</t>
  </si>
  <si>
    <t>test_lowercase_grades_are_not_recognised</t>
  </si>
  <si>
    <t>The check is case-sensitive, so lowercase grades are RED.</t>
  </si>
  <si>
    <t>UT-008</t>
  </si>
  <si>
    <t>test_grade_with_leading_whitespace_is_red</t>
  </si>
  <si>
    <t>A grade that starts with a space or tab does not match 'A'/'B'/'C'.</t>
  </si>
  <si>
    <t>UT-009</t>
  </si>
  <si>
    <t>test_non_string_input_raises_attribute_error</t>
  </si>
  <si>
    <t>startswith() does not exist on non-strings, so AttributeError is raised.</t>
  </si>
  <si>
    <t>UT-010</t>
  </si>
  <si>
    <t>test_any_text_starting_with_a_is_green</t>
  </si>
  <si>
    <t>Characterisation: the function checks only the first letter, so 'Apple' is GREEN.</t>
  </si>
  <si>
    <t>UT-011</t>
  </si>
  <si>
    <t>MODULE: grading scale</t>
  </si>
  <si>
    <t>test_colour_constants_are_distinct_hex_codes</t>
  </si>
  <si>
    <t>GREEN, BLUE, ORANGE and RED are four different #rrggbb values.</t>
  </si>
  <si>
    <t>UT-012</t>
  </si>
  <si>
    <t>test_functions_are_deterministic</t>
  </si>
  <si>
    <t>Calling 1000 times with the same input always gives the same output (no hidden state).</t>
  </si>
  <si>
    <t>UT-013</t>
  </si>
  <si>
    <t>test_accepts_any_numeric_type</t>
  </si>
  <si>
    <t>int, float, Decimal and Fraction behave the same for the same value.</t>
  </si>
  <si>
    <t>UT-014</t>
  </si>
  <si>
    <t>test_extreme_magnitudes_and_infinity</t>
  </si>
  <si>
    <t>Huge numbers and +-infinity are clamped by the comparisons (A+ / F).</t>
  </si>
  <si>
    <t>UT-015</t>
  </si>
  <si>
    <t>test_marks_to_colour_pipeline_including_total_of_one</t>
  </si>
  <si>
    <t>marks -&gt; percentage -&gt; grade -&gt; colour, including the smallest total (1).</t>
  </si>
  <si>
    <t>UT-016</t>
  </si>
  <si>
    <t>test_value_exactly_on_a_cutoff_gets_the_higher_grade</t>
  </si>
  <si>
    <t>On-boundary values: a percentage equal to a cut-off belongs to the higher grade.</t>
  </si>
  <si>
    <t>smoke, boundary, execution_order=1</t>
  </si>
  <si>
    <t>tests/unit/grading/test_grading_maryam.py</t>
  </si>
  <si>
    <t>UT-017</t>
  </si>
  <si>
    <t>test_value_just_below_a_cutoff_gets_the_lower_grade</t>
  </si>
  <si>
    <t>Off-boundary values: 0.01 below each cut-off falls into the next lower grade.</t>
  </si>
  <si>
    <t>UT-018</t>
  </si>
  <si>
    <t>test_typical_value_inside_each_grade_band</t>
  </si>
  <si>
    <t>One representative value from the middle of every valid grade band.</t>
  </si>
  <si>
    <t>equivalence</t>
  </si>
  <si>
    <t>UT-019</t>
  </si>
  <si>
    <t>test_extreme_valid_values_0_and_100</t>
  </si>
  <si>
    <t>The two ends of the valid range 0..100.</t>
  </si>
  <si>
    <t>UT-020</t>
  </si>
  <si>
    <t>test_every_whole_percentage_returns_a_known_grade</t>
  </si>
  <si>
    <t>Output domain: every whole percentage 0..100 maps to one of the 10 defined grades.</t>
  </si>
  <si>
    <t>UT-021</t>
  </si>
  <si>
    <t>test_a_grades_are_green</t>
  </si>
  <si>
    <t>Class 'A family' -&gt; GREEN.</t>
  </si>
  <si>
    <t>smoke, equivalence</t>
  </si>
  <si>
    <t>UT-022</t>
  </si>
  <si>
    <t>test_b_grades_are_blue</t>
  </si>
  <si>
    <t>Class 'B family' -&gt; BLUE.</t>
  </si>
  <si>
    <t>UT-023</t>
  </si>
  <si>
    <t>test_c_grades_are_orange</t>
  </si>
  <si>
    <t>Class 'C family' -&gt; ORANGE.</t>
  </si>
  <si>
    <t>UT-024</t>
  </si>
  <si>
    <t>test_fail_grade_is_red</t>
  </si>
  <si>
    <t>Class 'fail' -&gt; RED.</t>
  </si>
  <si>
    <t>UT-025</t>
  </si>
  <si>
    <t>test_every_grade_returns_a_hex_colour_code</t>
  </si>
  <si>
    <t>The result is always a valid #rrggbb colour string.</t>
  </si>
  <si>
    <t>UT-026</t>
  </si>
  <si>
    <t>test_scale_is_monotonic_a_higher_percentage_never_gives_a_lower_grade</t>
  </si>
  <si>
    <t>Walking from 0 to 100 in steps of 0.5 the grade rank never goes down.</t>
  </si>
  <si>
    <t>smoke, execution_order=2</t>
  </si>
  <si>
    <t>UT-027</t>
  </si>
  <si>
    <t>test_scale_has_exactly_ten_distinct_grades</t>
  </si>
  <si>
    <t>Across 0..100 all 10 grades are reachable and no other value appears.</t>
  </si>
  <si>
    <t>UT-028</t>
  </si>
  <si>
    <t>test_pass_fail_line_is_at_50_percent</t>
  </si>
  <si>
    <t>50 is the lowest passing mark (C-), 49 and below is F.</t>
  </si>
  <si>
    <t>UT-029</t>
  </si>
  <si>
    <t>test_colour_bands_follow_percentage_ranges</t>
  </si>
  <si>
    <t>&gt;=80 green, 65-79 blue, 50-64 orange, &lt;50 red, for every whole percentage.</t>
  </si>
  <si>
    <t>UT-030</t>
  </si>
  <si>
    <t>test_marks_to_grade_pipeline_for_typical_exams</t>
  </si>
  <si>
    <t>The app computes marks / total * 100 and then the grade; check realistic exams.</t>
  </si>
  <si>
    <t>UT-031</t>
  </si>
  <si>
    <t>Storage.get()</t>
  </si>
  <si>
    <t>test_empty_string_key_returns_an_empty_list</t>
  </si>
  <si>
    <t>Shortest possible key (empty string) works and creates an empty list.</t>
  </si>
  <si>
    <t>tests/unit/storage/test_storage_huda.py</t>
  </si>
  <si>
    <t>UT-032</t>
  </si>
  <si>
    <t>test_unicode_key_is_supported</t>
  </si>
  <si>
    <t>Keys in Urdu script are valid dictionary keys.</t>
  </si>
  <si>
    <t>UT-033</t>
  </si>
  <si>
    <t>test_get_does_not_write_the_file</t>
  </si>
  <si>
    <t>The key created by get() exists only in memory until save() is called.</t>
  </si>
  <si>
    <t>state</t>
  </si>
  <si>
    <t>UT-034</t>
  </si>
  <si>
    <t>test_get_returns_what_set_stored</t>
  </si>
  <si>
    <t>set() followed by get() returns the identical object.</t>
  </si>
  <si>
    <t>UT-035</t>
  </si>
  <si>
    <t>test_changes_made_through_get_are_saved_only_after_save</t>
  </si>
  <si>
    <t>Editing the list from get() is lost on restart unless save() is called.</t>
  </si>
  <si>
    <t>UT-036</t>
  </si>
  <si>
    <t>Storage.set()</t>
  </si>
  <si>
    <t>test_none_value_is_stored_and_returned_by_get</t>
  </si>
  <si>
    <t>None is a valid JSON null; get() returns None because the key exists.</t>
  </si>
  <si>
    <t>UT-037</t>
  </si>
  <si>
    <t>test_value_that_is_not_json_serialisable_raises_type_error</t>
  </si>
  <si>
    <t>A Python set cannot be written as JSON, so TypeError is raised.</t>
  </si>
  <si>
    <t>UT-038</t>
  </si>
  <si>
    <t>test_failed_save_leaves_memory_and_disk_different</t>
  </si>
  <si>
    <t>set() changes memory first: after the TypeError the bad value is still in memory.</t>
  </si>
  <si>
    <t>negative, state</t>
  </si>
  <si>
    <t>UT-039</t>
  </si>
  <si>
    <t>test_urdu_text_round_trips_through_the_file</t>
  </si>
  <si>
    <t>Non-ASCII text survives set() -&gt; restart -&gt; get().</t>
  </si>
  <si>
    <t>UT-040</t>
  </si>
  <si>
    <t>test_unwritable_location_prints_a_message_and_does_not_crash</t>
  </si>
  <si>
    <t>If the file cannot be written, save() reports it on screen but set() still works in memory.</t>
  </si>
  <si>
    <t>UT-041</t>
  </si>
  <si>
    <t>Storage.log_activity()</t>
  </si>
  <si>
    <t>test_empty_action_and_user_are_accepted</t>
  </si>
  <si>
    <t>No validation: empty strings are logged as they are.</t>
  </si>
  <si>
    <t>UT-042</t>
  </si>
  <si>
    <t>test_creates_the_activity_list_when_it_is_missing</t>
  </si>
  <si>
    <t>If 'systemActivity' was deleted, the first log_activity() recreates it.</t>
  </si>
  <si>
    <t>UT-043</t>
  </si>
  <si>
    <t>test_unicode_user_name_is_logged</t>
  </si>
  <si>
    <t>A user name written in Urdu is stored and reloaded correctly.</t>
  </si>
  <si>
    <t>UT-044</t>
  </si>
  <si>
    <t>test_log_has_no_size_limit</t>
  </si>
  <si>
    <t>100 more entries are all kept: 8 seeded + 100 = 108 (the log grows forever).</t>
  </si>
  <si>
    <t>UT-045</t>
  </si>
  <si>
    <t>test_time_comes_from_the_current_clock</t>
  </si>
  <si>
    <t>With the clock frozen at 2026-10-15 12:00:00 the entry carries exactly that time.</t>
  </si>
  <si>
    <t>UT-046</t>
  </si>
  <si>
    <t>CLASS: Storage</t>
  </si>
  <si>
    <t>test_corrupt_json_file_is_replaced_by_seed_data</t>
  </si>
  <si>
    <t>Invalid JSON does not crash; the app starts with the default data (data is lost silently).</t>
  </si>
  <si>
    <t>negative, execution_order=1</t>
  </si>
  <si>
    <t>UT-047</t>
  </si>
  <si>
    <t>test_empty_file_is_treated_like_a_missing_file</t>
  </si>
  <si>
    <t>A zero-byte file raises a JSON error internally and leads to the seed data.</t>
  </si>
  <si>
    <t>UT-048</t>
  </si>
  <si>
    <t>test_old_data_version_wipes_all_custom_data</t>
  </si>
  <si>
    <t>A file with another dataVersion is cleared completely, including keys the app does not know.</t>
  </si>
  <si>
    <t>UT-049</t>
  </si>
  <si>
    <t>test_missing_table_is_added_but_existing_tables_are_not_touched</t>
  </si>
  <si>
    <t>Current version, only one custom user table -&gt; users kept, the other tables are created.</t>
  </si>
  <si>
    <t>UT-050</t>
  </si>
  <si>
    <t>test_initialize_all_data_is_idempotent</t>
  </si>
  <si>
    <t>Calling initialize_all_data() again changes nothing (seed data is created only once).</t>
  </si>
  <si>
    <t>UT-051</t>
  </si>
  <si>
    <t>test_existing_key_returns_the_stored_list</t>
  </si>
  <si>
    <t>A key that exists returns its value (6 seeded users).</t>
  </si>
  <si>
    <t>smoke, equivalence, execution_order=1</t>
  </si>
  <si>
    <t>tests/unit/storage/test_storage_maryam.py</t>
  </si>
  <si>
    <t>UT-052</t>
  </si>
  <si>
    <t>test_returns_the_same_object_not_a_copy</t>
  </si>
  <si>
    <t>get() returns a reference, so changing the list changes the store.</t>
  </si>
  <si>
    <t>UT-053</t>
  </si>
  <si>
    <t>test_missing_key_returns_an_empty_list</t>
  </si>
  <si>
    <t>A key that does not exist returns [].</t>
  </si>
  <si>
    <t>UT-054</t>
  </si>
  <si>
    <t>test_reading_a_missing_key_creates_it</t>
  </si>
  <si>
    <t>Side effect of setdefault: after get() the new key exists in store.data.</t>
  </si>
  <si>
    <t>UT-055</t>
  </si>
  <si>
    <t>test_non_list_value_is_returned_unchanged</t>
  </si>
  <si>
    <t>get() is not limited to lists; the version string comes back as stored.</t>
  </si>
  <si>
    <t>UT-056</t>
  </si>
  <si>
    <t>test_set_stores_the_value_in_memory</t>
  </si>
  <si>
    <t>After set(), get() returns the same value.</t>
  </si>
  <si>
    <t>UT-057</t>
  </si>
  <si>
    <t>test_set_writes_to_the_file_immediately</t>
  </si>
  <si>
    <t>The JSON file on disk already contains the value after set().</t>
  </si>
  <si>
    <t>UT-058</t>
  </si>
  <si>
    <t>test_set_overwrites_an_existing_key</t>
  </si>
  <si>
    <t>A second set() on the same key replaces the first value.</t>
  </si>
  <si>
    <t>UT-059</t>
  </si>
  <si>
    <t>test_set_accepts_every_json_type</t>
  </si>
  <si>
    <t>list, dict, int, str, bool and float values are all stored and saved.</t>
  </si>
  <si>
    <t>UT-060</t>
  </si>
  <si>
    <t>test_value_survives_an_application_restart</t>
  </si>
  <si>
    <t>A new Storage object (a restart) loads the value from the file.</t>
  </si>
  <si>
    <t>UT-061</t>
  </si>
  <si>
    <t>test_adds_exactly_one_entry_at_the_end</t>
  </si>
  <si>
    <t>One call adds one entry (8 seeded -&gt; 9), and it is the last one.</t>
  </si>
  <si>
    <t>UT-062</t>
  </si>
  <si>
    <t>test_entry_has_exactly_action_user_and_time</t>
  </si>
  <si>
    <t>The stored entry contains the three expected keys and nothing else.</t>
  </si>
  <si>
    <t>UT-063</t>
  </si>
  <si>
    <t>test_time_uses_the_yyyy_mm_dd_hh_mm_ss_format</t>
  </si>
  <si>
    <t>The time text matches 'YYYY-MM-DD HH:MM:SS'.</t>
  </si>
  <si>
    <t>UT-064</t>
  </si>
  <si>
    <t>test_entry_is_saved_to_the_file</t>
  </si>
  <si>
    <t>log_activity() calls save(), so the file contains the new entry.</t>
  </si>
  <si>
    <t>UT-065</t>
  </si>
  <si>
    <t>test_entries_are_kept_in_call_order</t>
  </si>
  <si>
    <t>Two calls give two entries in the same order they were made.</t>
  </si>
  <si>
    <t>UT-066</t>
  </si>
  <si>
    <t>test_fresh_start_seeds_users_courses_and_students</t>
  </si>
  <si>
    <t>No file yet -&gt; default data: 6 users, 3 courses, 3 students.</t>
  </si>
  <si>
    <t>smoke, equivalence, execution_order=2</t>
  </si>
  <si>
    <t>UT-067</t>
  </si>
  <si>
    <t>test_fresh_start_seeds_attendance_results_and_activity</t>
  </si>
  <si>
    <t>Default data also has 10 attendance records, 4 results and 8 activity entries.</t>
  </si>
  <si>
    <t>UT-068</t>
  </si>
  <si>
    <t>test_data_version_is_set</t>
  </si>
  <si>
    <t>The data version marker equals DATA_VERSION.</t>
  </si>
  <si>
    <t>UT-069</t>
  </si>
  <si>
    <t>test_constructor_creates_the_data_file</t>
  </si>
  <si>
    <t>Creating a Storage writes the file to disk.</t>
  </si>
  <si>
    <t>UT-070</t>
  </si>
  <si>
    <t>test_restart_keeps_existing_data_and_does_not_reseed</t>
  </si>
  <si>
    <t>Adding a user and restarting keeps 7 users (the seed data is not applied again).</t>
  </si>
  <si>
    <t>UT-071</t>
  </si>
  <si>
    <t>StudentDashboard.overall_attendance()</t>
  </si>
  <si>
    <t>test_no_records_gives_zero_without_dividing_by_zero</t>
  </si>
  <si>
    <t>Empty list: (0, 0, 0) and no ZeroDivisionError.</t>
  </si>
  <si>
    <t>negative, boundary, execution_order=1</t>
  </si>
  <si>
    <t>tests/unit/student_analytics/test_student_analytics_huda.py</t>
  </si>
  <si>
    <t>UT-072</t>
  </si>
  <si>
    <t>test_student_who_is_in_no_record_gets_zero</t>
  </si>
  <si>
    <t>Records exist but none lists this student -&gt; (0, 0, 0).</t>
  </si>
  <si>
    <t>UT-073</t>
  </si>
  <si>
    <t>test_unknown_status_counts_as_not_present</t>
  </si>
  <si>
    <t>Only the exact lowercase 'present' and 'late' count; anything else is an absence.</t>
  </si>
  <si>
    <t>UT-074</t>
  </si>
  <si>
    <t>test_record_without_students_key_raises_key_error</t>
  </si>
  <si>
    <t>Damaged record (no 'students' list) is not handled: KeyError.</t>
  </si>
  <si>
    <t>UT-075</t>
  </si>
  <si>
    <t>test_student_listed_twice_in_one_record_is_counted_once</t>
  </si>
  <si>
    <t>Duplicate rows in one record: only the first matching row is used.</t>
  </si>
  <si>
    <t>UT-076</t>
  </si>
  <si>
    <t>StudentDashboard.average_grade()</t>
  </si>
  <si>
    <t>test_no_results_gives_dash_and_zero</t>
  </si>
  <si>
    <t>Empty list: grade '-', count 0, average 0.</t>
  </si>
  <si>
    <t>negative, boundary</t>
  </si>
  <si>
    <t>UT-077</t>
  </si>
  <si>
    <t>test_results_of_other_students_only_gives_dash</t>
  </si>
  <si>
    <t>Results exist but not for this student -&gt; ('-', 0, 0).</t>
  </si>
  <si>
    <t>UT-078</t>
  </si>
  <si>
    <t>test_only_unapproved_results_gives_dash</t>
  </si>
  <si>
    <t>Every result is unapproved -&gt; nothing is counted.</t>
  </si>
  <si>
    <t>UT-079</t>
  </si>
  <si>
    <t>test_non_numeric_percentage_text_raises_value_error</t>
  </si>
  <si>
    <t>Percentage is stored as text; 'abc' cannot be converted and raises ValueError.</t>
  </si>
  <si>
    <t>UT-080</t>
  </si>
  <si>
    <t>test_average_is_a_plain_mean_not_weighted_by_total_marks</t>
  </si>
  <si>
    <t>18/20 (90 %) and 40/100 (40 %) average to 65 %, not 46.7 %; grade B-.</t>
  </si>
  <si>
    <t>UT-081</t>
  </si>
  <si>
    <t>StudentDashboard.load_course_wise_attendance()</t>
  </si>
  <si>
    <t>test_no_records_shows_the_empty_message</t>
  </si>
  <si>
    <t>Empty input -&gt; no rows and the message 'No attendance records found'.</t>
  </si>
  <si>
    <t>UT-082</t>
  </si>
  <si>
    <t>test_other_students_records_are_not_shown</t>
  </si>
  <si>
    <t>A record of another student produces no row for this student.</t>
  </si>
  <si>
    <t>UT-083</t>
  </si>
  <si>
    <t>test_all_late_counts_as_fully_present</t>
  </si>
  <si>
    <t>Two 'late' records -&gt; 2 present, 0 absent, '100%', 'Good'.</t>
  </si>
  <si>
    <t>UT-084</t>
  </si>
  <si>
    <t>test_all_absent_is_zero_percent_and_low</t>
  </si>
  <si>
    <t>Lowest possible attendance: 0 of 2 -&gt; '0%', 'Low'.</t>
  </si>
  <si>
    <t>UT-085</t>
  </si>
  <si>
    <t>test_percentage_is_rounded_to_a_whole_number</t>
  </si>
  <si>
    <t>2 of 3 attended = 66.67 % is displayed as '67%'.</t>
  </si>
  <si>
    <t>UT-086</t>
  </si>
  <si>
    <t>CLASS: StudentDashboard</t>
  </si>
  <si>
    <t>test_results_without_a_selected_course_ask_the_user_to_choose</t>
  </si>
  <si>
    <t>No course selected -&gt; empty table with 'Please select a course'.</t>
  </si>
  <si>
    <t>negative, smoke</t>
  </si>
  <si>
    <t>UT-087</t>
  </si>
  <si>
    <t>test_unapproved_results_are_hidden_from_the_student</t>
  </si>
  <si>
    <t>approved=False results never reach the screen.</t>
  </si>
  <si>
    <t>UT-088</t>
  </si>
  <si>
    <t>test_results_of_other_students_are_hidden</t>
  </si>
  <si>
    <t>Another student's marks are never shown; message 'No results found for this course'.</t>
  </si>
  <si>
    <t>UT-089</t>
  </si>
  <si>
    <t>test_my_courses_with_no_courses_shows_the_empty_message</t>
  </si>
  <si>
    <t>Student enrolled in nothing -&gt; no rows and 'No courses enrolled'.</t>
  </si>
  <si>
    <t>UT-090</t>
  </si>
  <si>
    <t>test_course_without_any_classes_shows_zero_percent</t>
  </si>
  <si>
    <t>Enrolled but no attendance yet -&gt; '0%' (guarded against division by zero).</t>
  </si>
  <si>
    <t>UT-091</t>
  </si>
  <si>
    <t>test_all_classes_attended_gives_100_percent</t>
  </si>
  <si>
    <t>Four records, all present -&gt; (4, 4, 100).</t>
  </si>
  <si>
    <t>tests/unit/student_analytics/test_student_analytics_maryam.py</t>
  </si>
  <si>
    <t>UT-092</t>
  </si>
  <si>
    <t>test_late_counts_as_present_and_absent_does_not</t>
  </si>
  <si>
    <t>present, late, absent, present -&gt; 3 of 4 attended = 75 %.</t>
  </si>
  <si>
    <t>UT-093</t>
  </si>
  <si>
    <t>test_percentages_around_the_75_percent_limit</t>
  </si>
  <si>
    <t>74 %, 75 % and 76 % are calculated exactly (the dashboard warns below 75).</t>
  </si>
  <si>
    <t>UT-094</t>
  </si>
  <si>
    <t>test_records_of_other_students_are_ignored</t>
  </si>
  <si>
    <t>A record that also lists another student counts only the logged-in student's row.</t>
  </si>
  <si>
    <t>UT-095</t>
  </si>
  <si>
    <t>test_records_of_several_courses_are_added_together</t>
  </si>
  <si>
    <t>Overall attendance is across all courses: 1 of 2 in CS101 + 2 of 2 in CS202 = 3 of 4.</t>
  </si>
  <si>
    <t>UT-096</t>
  </si>
  <si>
    <t>test_single_result_gives_its_own_grade</t>
  </si>
  <si>
    <t>One approved result of 85 % -&gt; ('A', 1, 85.0).</t>
  </si>
  <si>
    <t>UT-097</t>
  </si>
  <si>
    <t>test_average_of_two_results</t>
  </si>
  <si>
    <t>85 % and 90 % -&gt; average 87.5 % -&gt; grade A, count 2.</t>
  </si>
  <si>
    <t>UT-098</t>
  </si>
  <si>
    <t>test_average_exactly_on_the_a_plus_cutoff</t>
  </si>
  <si>
    <t>80 % and 100 % average to exactly 90 % which is A+.</t>
  </si>
  <si>
    <t>UT-099</t>
  </si>
  <si>
    <t>test_average_just_below_the_a_plus_cutoff</t>
  </si>
  <si>
    <t>89.98 % average is still A (one hundredth below the cut-off).</t>
  </si>
  <si>
    <t>UT-100</t>
  </si>
  <si>
    <t>test_unapproved_results_are_not_counted</t>
  </si>
  <si>
    <t>A result with approved=False is ignored: only the approved 70 % counts.</t>
  </si>
  <si>
    <t>UT-101</t>
  </si>
  <si>
    <t>test_one_course_row_has_totals_percentage_and_status</t>
  </si>
  <si>
    <t>3 of 4 attended -&gt; one row ('CS101', name, 4, 3, 1, '75%', 'Good').</t>
  </si>
  <si>
    <t>UT-102</t>
  </si>
  <si>
    <t>test_74_percent_is_marked_low</t>
  </si>
  <si>
    <t>37 of 50 = 74 % -&gt; status 'Low' (75 % and above is 'Good').</t>
  </si>
  <si>
    <t>UT-103</t>
  </si>
  <si>
    <t>test_two_courses_give_two_rows_in_order_of_first_record</t>
  </si>
  <si>
    <t>Courses appear in the order their first record appears: CS202 then CS101.</t>
  </si>
  <si>
    <t>UT-104</t>
  </si>
  <si>
    <t>test_unknown_course_code_is_shown_as_unknown</t>
  </si>
  <si>
    <t>A record whose course no longer exists gets the name 'Unknown'.</t>
  </si>
  <si>
    <t>UT-105</t>
  </si>
  <si>
    <t>test_row_colour_tag_is_green_for_good_and_red_for_low</t>
  </si>
  <si>
    <t>The tag function returns 'gA' for 'Good' rows and 'gF' for 'Low' rows.</t>
  </si>
  <si>
    <t>UT-106</t>
  </si>
  <si>
    <t>test_attendance_log_lists_newest_first</t>
  </si>
  <si>
    <t>'All Courses' shows every record sorted by date, newest first.</t>
  </si>
  <si>
    <t>UT-107</t>
  </si>
  <si>
    <t>test_attendance_log_can_be_filtered_by_course</t>
  </si>
  <si>
    <t>Selecting 'CS202 - Data Structures' hides the CS101 records.</t>
  </si>
  <si>
    <t>UT-108</t>
  </si>
  <si>
    <t>test_attendance_status_is_shown_with_a_capital_letter</t>
  </si>
  <si>
    <t>Stored 'late' is displayed as 'Late'.</t>
  </si>
  <si>
    <t>UT-109</t>
  </si>
  <si>
    <t>test_result_row_shows_type_marks_percentage_grade_and_date</t>
  </si>
  <si>
    <t>One approved midterm -&gt; ('Midterm', 100, 85, '85.00%', 'A', '2026-10-02').</t>
  </si>
  <si>
    <t>UT-110</t>
  </si>
  <si>
    <t>test_my_courses_shows_the_attendance_percentage_per_course</t>
  </si>
  <si>
    <t>3 of 4 attended in CS101 -&gt; the 'Attendance' column shows '75%'.</t>
  </si>
  <si>
    <t>UT-111</t>
  </si>
  <si>
    <t>test_my_courses_ignores_attendance_of_other_courses</t>
  </si>
  <si>
    <t>Attendance records of CS202 do not change the percentage shown for CS101.</t>
  </si>
  <si>
    <t>Both</t>
  </si>
  <si>
    <t>Status</t>
  </si>
  <si>
    <t>Total test functions</t>
  </si>
  <si>
    <t>Executed cases (including parametrised variants)</t>
  </si>
  <si>
    <t>Defect ID</t>
  </si>
  <si>
    <t>Origin</t>
  </si>
  <si>
    <t>UT-DEF-01</t>
  </si>
  <si>
    <t>Storage() crashes with AttributeError when portal_data.json holds valid JSON that is not an object (for example [] or null)</t>
  </si>
  <si>
    <t>test_json_file_that_is_not_an_object_does_not_crash_the_app</t>
  </si>
  <si>
    <t>New defect found by unit tests</t>
  </si>
  <si>
    <t>UT-DEF-02</t>
  </si>
  <si>
    <t>save() opens the file with 'w' before json.dump(), so a serialisation error leaves a truncated, unreadable data file on disk (all data lost)</t>
  </si>
  <si>
    <t>test_failed_save_keeps_the_previous_file_valid</t>
  </si>
  <si>
    <t>UT-DEF-03</t>
  </si>
  <si>
    <t>overall_attendance() rounds to a whole number, so 74.7 % becomes 75 % and the dashboard (which checks pct &lt; 75) shows no low-attendance warning</t>
  </si>
  <si>
    <t>test_attendance_below_75_percent_is_not_rounded_up_to_75</t>
  </si>
  <si>
    <t>DEF-014 (Assignment 2) / UT-DEF-04</t>
  </si>
  <si>
    <t>grade_from_percentage has no input validation; a negative percentage is graded 'F' and a percentage above 100 is graded 'A+' instead of being rejected</t>
  </si>
  <si>
    <t>test_out_of_range_percentage_is_rejected</t>
  </si>
  <si>
    <t>Assignment 2 defect confirmed at unit level</t>
  </si>
  <si>
    <t>DEF-015 (Assignment 2)</t>
  </si>
  <si>
    <t>invalid values are silently accepted; NaN is graded 'F' instead of being rejected</t>
  </si>
  <si>
    <t>test_nan_percentage_is_rejected</t>
  </si>
  <si>
    <t>DEF-023 (Assignment 2)</t>
  </si>
  <si>
    <t>a corrupted data file is silently replaced by seed data; no backup copy of the damaged file is kept</t>
  </si>
  <si>
    <t>test_corrupt_data_file_is_backed_up_before_it_is_replaced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</si>
</sst>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charset val="1"/>
    </font>
    <font>
      <sz val="10"/>
      <color rgb="FF000000"/>
      <name val="Arial"/>
      <charset val="1"/>
    </font>
    <font>
      <b/>
      <sz val="10"/>
      <color rgb="FFFFFFFF"/>
      <name val="Arial"/>
      <charset val="1"/>
    </font>
    <font>
      <b/>
      <sz val="10"/>
      <name val="Arial"/>
      <charset val="1"/>
    </font>
    <font>
      <sz val="10"/>
      <name val="Arial"/>
      <charset val="1"/>
    </font>
    <font>
      <b/>
      <sz val="11"/>
      <color rgb="FF0A5F5C"/>
      <name val="Arial"/>
      <charset val="1"/>
    </font>
    <font>
      <b/>
      <sz val="13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rgb="FF008080"/>
      </patternFill>
    </fill>
  </fills>
  <borders count="2">
    <border>
      <left/>
      <right/>
      <top/>
      <bottom/>
      <diagonal/>
    </border>
    <border>
      <left style="thin">
        <color rgb="FF9AA5A4"/>
      </left>
      <right style="thin">
        <color rgb="FF9AA5A4"/>
      </right>
      <top style="thin">
        <color rgb="FF9AA5A4"/>
      </top>
      <bottom style="thin">
        <color rgb="FF9AA5A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vertical="top" wrapText="1"/>
    </xf>
    <xf numFmtId="0" fontId="4" fillId="0" borderId="1" xfId="0" applyFont="1" applyBorder="1" applyAlignment="1">
      <alignment horizontal="center" vertical="top" wrapText="1"/>
    </xf>
    <xf numFmtId="0" fontId="5" fillId="0" borderId="0" xfId="0" applyFont="1"/>
    <xf numFmtId="0" fontId="3" fillId="0" borderId="0" xfId="0" applyFont="1"/>
    <xf numFmtId="0" fontId="0" fillId="0" borderId="0" xfId="0" applyAlignment="1">
      <alignment horizontal="center" vertical="top" wrapText="1"/>
    </xf>
    <xf numFmtId="0" fontId="6" fillId="0" borderId="0" xfId="0" applyFont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2">
    <dxf>
      <fill>
        <patternFill>
          <bgColor rgb="FFF9DADA"/>
        </patternFill>
      </fill>
    </dxf>
    <dxf>
      <fill>
        <patternFill>
          <bgColor rgb="FFDDF3E4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A5F5C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DF3E4"/>
      <rgbColor rgb="FFFFFF99"/>
      <rgbColor rgb="FF99CCFF"/>
      <rgbColor rgb="FFFF99CC"/>
      <rgbColor rgb="FFCC99FF"/>
      <rgbColor rgb="FFF9DADA"/>
      <rgbColor rgb="FF3366FF"/>
      <rgbColor rgb="FF33CCCC"/>
      <rgbColor rgb="FF99CC00"/>
      <rgbColor rgb="FFFFCC00"/>
      <rgbColor rgb="FFFF9900"/>
      <rgbColor rgb="FFFF6600"/>
      <rgbColor rgb="FF666699"/>
      <rgbColor rgb="FF9AA5A4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9"/>
  <sheetViews>
    <sheetView zoomScaleNormal="100" workbookViewId="0">
      <selection activeCell="A4" sqref="A4"/>
    </sheetView>
  </sheetViews>
  <sheetFormatPr defaultColWidth="8.6328125" defaultRowHeight="14.5" x14ac:dyDescent="0.35"/>
  <cols>
    <col min="1" max="1" width="130" customWidth="1"/>
  </cols>
  <sheetData>
    <row r="1" spans="1:1" ht="16.5" x14ac:dyDescent="0.35">
      <c r="A1" s="8" t="s">
        <v>0</v>
      </c>
    </row>
    <row r="2" spans="1:1" x14ac:dyDescent="0.35">
      <c r="A2" s="1" t="s">
        <v>1</v>
      </c>
    </row>
    <row r="3" spans="1:1" x14ac:dyDescent="0.35">
      <c r="A3" s="1"/>
    </row>
    <row r="4" spans="1:1" ht="25" x14ac:dyDescent="0.35">
      <c r="A4" s="1" t="s">
        <v>2</v>
      </c>
    </row>
    <row r="5" spans="1:1" x14ac:dyDescent="0.35">
      <c r="A5" s="1" t="s">
        <v>3</v>
      </c>
    </row>
    <row r="6" spans="1:1" x14ac:dyDescent="0.35">
      <c r="A6" s="1" t="s">
        <v>4</v>
      </c>
    </row>
    <row r="7" spans="1:1" x14ac:dyDescent="0.35">
      <c r="A7" s="1" t="s">
        <v>5</v>
      </c>
    </row>
    <row r="8" spans="1:1" x14ac:dyDescent="0.35">
      <c r="A8" s="1"/>
    </row>
    <row r="9" spans="1:1" ht="25" x14ac:dyDescent="0.35">
      <c r="A9" s="1" t="s">
        <v>6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6"/>
  <sheetViews>
    <sheetView zoomScale="49" zoomScaleNormal="100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I3" sqref="I3"/>
    </sheetView>
  </sheetViews>
  <sheetFormatPr defaultColWidth="8.6328125" defaultRowHeight="14.5" x14ac:dyDescent="0.35"/>
  <cols>
    <col min="1" max="1" width="11" customWidth="1"/>
    <col min="2" max="2" width="24" customWidth="1"/>
    <col min="3" max="3" width="30" customWidth="1"/>
    <col min="4" max="4" width="20" customWidth="1"/>
    <col min="5" max="5" width="12" customWidth="1"/>
    <col min="6" max="6" width="60" customWidth="1"/>
    <col min="7" max="7" width="24" customWidth="1"/>
    <col min="8" max="8" width="40" customWidth="1"/>
    <col min="9" max="9" width="46" customWidth="1"/>
    <col min="10" max="10" width="15" customWidth="1"/>
    <col min="11" max="12" width="10" customWidth="1"/>
  </cols>
  <sheetData>
    <row r="1" spans="1:12" ht="30" customHeight="1" x14ac:dyDescent="0.35">
      <c r="A1" s="9" t="s">
        <v>7</v>
      </c>
      <c r="B1" s="9" t="s">
        <v>8</v>
      </c>
      <c r="C1" s="9" t="s">
        <v>9</v>
      </c>
      <c r="D1" s="9" t="s">
        <v>10</v>
      </c>
      <c r="E1" s="9" t="s">
        <v>11</v>
      </c>
      <c r="F1" s="9" t="s">
        <v>12</v>
      </c>
      <c r="G1" s="9" t="s">
        <v>13</v>
      </c>
      <c r="H1" s="9" t="s">
        <v>14</v>
      </c>
      <c r="I1" s="9" t="s">
        <v>15</v>
      </c>
      <c r="J1" s="9" t="s">
        <v>16</v>
      </c>
      <c r="K1" s="9" t="s">
        <v>17</v>
      </c>
      <c r="L1" s="9" t="s">
        <v>18</v>
      </c>
    </row>
    <row r="2" spans="1:12" ht="25" x14ac:dyDescent="0.35">
      <c r="A2" s="2" t="s">
        <v>19</v>
      </c>
      <c r="B2" s="3" t="s">
        <v>20</v>
      </c>
      <c r="C2" s="3" t="s">
        <v>21</v>
      </c>
      <c r="D2" s="3" t="s">
        <v>21</v>
      </c>
      <c r="E2" s="4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4" t="s">
        <v>27</v>
      </c>
      <c r="K2" s="4" t="s">
        <v>28</v>
      </c>
      <c r="L2" s="4">
        <v>6</v>
      </c>
    </row>
    <row r="3" spans="1:12" ht="25" x14ac:dyDescent="0.35">
      <c r="A3" s="2" t="s">
        <v>29</v>
      </c>
      <c r="B3" s="3" t="s">
        <v>20</v>
      </c>
      <c r="C3" s="3" t="s">
        <v>30</v>
      </c>
      <c r="D3" s="3" t="s">
        <v>30</v>
      </c>
      <c r="E3" s="4" t="s">
        <v>31</v>
      </c>
      <c r="F3" s="3" t="s">
        <v>32</v>
      </c>
      <c r="G3" s="3" t="s">
        <v>33</v>
      </c>
      <c r="H3" s="3" t="s">
        <v>34</v>
      </c>
      <c r="I3" s="3" t="s">
        <v>35</v>
      </c>
      <c r="J3" s="4" t="s">
        <v>36</v>
      </c>
      <c r="K3" s="4" t="s">
        <v>37</v>
      </c>
      <c r="L3" s="4">
        <v>4</v>
      </c>
    </row>
    <row r="4" spans="1:12" ht="25" x14ac:dyDescent="0.35">
      <c r="A4" s="2" t="s">
        <v>38</v>
      </c>
      <c r="B4" s="3" t="s">
        <v>39</v>
      </c>
      <c r="C4" s="3" t="s">
        <v>40</v>
      </c>
      <c r="D4" s="3" t="s">
        <v>41</v>
      </c>
      <c r="E4" s="4" t="s">
        <v>42</v>
      </c>
      <c r="F4" s="3" t="s">
        <v>43</v>
      </c>
      <c r="G4" s="3" t="s">
        <v>44</v>
      </c>
      <c r="H4" s="3" t="s">
        <v>45</v>
      </c>
      <c r="I4" s="3" t="s">
        <v>46</v>
      </c>
      <c r="J4" s="4" t="s">
        <v>36</v>
      </c>
      <c r="K4" s="4" t="s">
        <v>28</v>
      </c>
      <c r="L4" s="4">
        <v>5</v>
      </c>
    </row>
    <row r="5" spans="1:12" ht="37.5" x14ac:dyDescent="0.35">
      <c r="A5" s="2" t="s">
        <v>47</v>
      </c>
      <c r="B5" s="3" t="s">
        <v>39</v>
      </c>
      <c r="C5" s="3" t="s">
        <v>48</v>
      </c>
      <c r="D5" s="3" t="s">
        <v>49</v>
      </c>
      <c r="E5" s="4" t="s">
        <v>42</v>
      </c>
      <c r="F5" s="3" t="s">
        <v>50</v>
      </c>
      <c r="G5" s="3" t="s">
        <v>51</v>
      </c>
      <c r="H5" s="3" t="s">
        <v>52</v>
      </c>
      <c r="I5" s="3" t="s">
        <v>53</v>
      </c>
      <c r="J5" s="4" t="s">
        <v>27</v>
      </c>
      <c r="K5" s="4" t="s">
        <v>28</v>
      </c>
      <c r="L5" s="4">
        <v>5</v>
      </c>
    </row>
    <row r="6" spans="1:12" ht="25" x14ac:dyDescent="0.35">
      <c r="A6" s="2" t="s">
        <v>54</v>
      </c>
      <c r="B6" s="3" t="s">
        <v>55</v>
      </c>
      <c r="C6" s="3" t="s">
        <v>56</v>
      </c>
      <c r="D6" s="3" t="s">
        <v>57</v>
      </c>
      <c r="E6" s="4" t="s">
        <v>31</v>
      </c>
      <c r="F6" s="3" t="s">
        <v>58</v>
      </c>
      <c r="G6" s="3" t="s">
        <v>59</v>
      </c>
      <c r="H6" s="3" t="s">
        <v>60</v>
      </c>
      <c r="I6" s="3" t="s">
        <v>61</v>
      </c>
      <c r="J6" s="4" t="s">
        <v>27</v>
      </c>
      <c r="K6" s="4" t="s">
        <v>37</v>
      </c>
      <c r="L6" s="4">
        <v>4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J112"/>
  <sheetViews>
    <sheetView zoomScale="36" zoomScaleNormal="70" workbookViewId="0">
      <pane xSplit="4" ySplit="1" topLeftCell="E2" activePane="bottomRight" state="frozen"/>
      <selection pane="topRight" activeCell="E1" sqref="E1"/>
      <selection pane="bottomLeft" activeCell="A2" sqref="A2"/>
      <selection pane="bottomRight" activeCell="I13" sqref="I13"/>
    </sheetView>
  </sheetViews>
  <sheetFormatPr defaultColWidth="8.6328125" defaultRowHeight="14.5" x14ac:dyDescent="0.35"/>
  <cols>
    <col min="1" max="1" width="10" customWidth="1"/>
    <col min="2" max="2" width="26" customWidth="1"/>
    <col min="3" max="3" width="40" customWidth="1"/>
    <col min="4" max="4" width="58" customWidth="1"/>
    <col min="5" max="5" width="70" customWidth="1"/>
    <col min="6" max="6" width="12" customWidth="1"/>
    <col min="7" max="7" width="15" customWidth="1"/>
    <col min="8" max="8" width="10" customWidth="1"/>
    <col min="9" max="9" width="40" customWidth="1"/>
    <col min="10" max="10" width="52" customWidth="1"/>
  </cols>
  <sheetData>
    <row r="1" spans="1:10" ht="30" customHeight="1" x14ac:dyDescent="0.35">
      <c r="A1" s="9" t="s">
        <v>62</v>
      </c>
      <c r="B1" s="9" t="s">
        <v>8</v>
      </c>
      <c r="C1" s="9" t="s">
        <v>63</v>
      </c>
      <c r="D1" s="9" t="s">
        <v>64</v>
      </c>
      <c r="E1" s="9" t="s">
        <v>65</v>
      </c>
      <c r="F1" s="9" t="s">
        <v>11</v>
      </c>
      <c r="G1" s="9" t="s">
        <v>16</v>
      </c>
      <c r="H1" s="9" t="s">
        <v>66</v>
      </c>
      <c r="I1" s="9" t="s">
        <v>67</v>
      </c>
      <c r="J1" s="9" t="s">
        <v>68</v>
      </c>
    </row>
    <row r="2" spans="1:10" x14ac:dyDescent="0.35">
      <c r="A2" s="4" t="s">
        <v>69</v>
      </c>
      <c r="B2" s="3" t="s">
        <v>20</v>
      </c>
      <c r="C2" s="3" t="s">
        <v>70</v>
      </c>
      <c r="D2" s="3" t="s">
        <v>71</v>
      </c>
      <c r="E2" s="3" t="s">
        <v>72</v>
      </c>
      <c r="F2" s="4" t="s">
        <v>73</v>
      </c>
      <c r="G2" s="3" t="s">
        <v>36</v>
      </c>
      <c r="H2" s="4">
        <v>2</v>
      </c>
      <c r="I2" s="3" t="s">
        <v>74</v>
      </c>
      <c r="J2" s="3" t="s">
        <v>75</v>
      </c>
    </row>
    <row r="3" spans="1:10" x14ac:dyDescent="0.35">
      <c r="A3" s="4" t="s">
        <v>76</v>
      </c>
      <c r="B3" s="3" t="s">
        <v>20</v>
      </c>
      <c r="C3" s="3" t="s">
        <v>70</v>
      </c>
      <c r="D3" s="3" t="s">
        <v>77</v>
      </c>
      <c r="E3" s="3" t="s">
        <v>78</v>
      </c>
      <c r="F3" s="4" t="s">
        <v>73</v>
      </c>
      <c r="G3" s="3" t="s">
        <v>36</v>
      </c>
      <c r="H3" s="4">
        <v>2</v>
      </c>
      <c r="I3" s="3" t="s">
        <v>74</v>
      </c>
      <c r="J3" s="3" t="s">
        <v>75</v>
      </c>
    </row>
    <row r="4" spans="1:10" x14ac:dyDescent="0.35">
      <c r="A4" s="4" t="s">
        <v>79</v>
      </c>
      <c r="B4" s="3" t="s">
        <v>20</v>
      </c>
      <c r="C4" s="3" t="s">
        <v>70</v>
      </c>
      <c r="D4" s="3" t="s">
        <v>80</v>
      </c>
      <c r="E4" s="3" t="s">
        <v>81</v>
      </c>
      <c r="F4" s="4" t="s">
        <v>82</v>
      </c>
      <c r="G4" s="3" t="s">
        <v>36</v>
      </c>
      <c r="H4" s="4">
        <v>1</v>
      </c>
      <c r="I4" s="3" t="s">
        <v>83</v>
      </c>
      <c r="J4" s="3" t="s">
        <v>75</v>
      </c>
    </row>
    <row r="5" spans="1:10" x14ac:dyDescent="0.35">
      <c r="A5" s="4" t="s">
        <v>84</v>
      </c>
      <c r="B5" s="3" t="s">
        <v>20</v>
      </c>
      <c r="C5" s="3" t="s">
        <v>70</v>
      </c>
      <c r="D5" s="3" t="s">
        <v>85</v>
      </c>
      <c r="E5" s="3" t="s">
        <v>86</v>
      </c>
      <c r="F5" s="4" t="s">
        <v>87</v>
      </c>
      <c r="G5" s="3" t="s">
        <v>36</v>
      </c>
      <c r="H5" s="4">
        <v>1</v>
      </c>
      <c r="I5" s="3" t="s">
        <v>74</v>
      </c>
      <c r="J5" s="3" t="s">
        <v>75</v>
      </c>
    </row>
    <row r="6" spans="1:10" x14ac:dyDescent="0.35">
      <c r="A6" s="4" t="s">
        <v>88</v>
      </c>
      <c r="B6" s="3" t="s">
        <v>20</v>
      </c>
      <c r="C6" s="3" t="s">
        <v>70</v>
      </c>
      <c r="D6" s="3" t="s">
        <v>89</v>
      </c>
      <c r="E6" s="3" t="s">
        <v>90</v>
      </c>
      <c r="F6" s="4" t="s">
        <v>73</v>
      </c>
      <c r="G6" s="3" t="s">
        <v>36</v>
      </c>
      <c r="H6" s="4">
        <v>2</v>
      </c>
      <c r="I6" s="3" t="s">
        <v>74</v>
      </c>
      <c r="J6" s="3" t="s">
        <v>75</v>
      </c>
    </row>
    <row r="7" spans="1:10" x14ac:dyDescent="0.35">
      <c r="A7" s="4" t="s">
        <v>91</v>
      </c>
      <c r="B7" s="3" t="s">
        <v>20</v>
      </c>
      <c r="C7" s="3" t="s">
        <v>92</v>
      </c>
      <c r="D7" s="3" t="s">
        <v>93</v>
      </c>
      <c r="E7" s="3" t="s">
        <v>94</v>
      </c>
      <c r="F7" s="4" t="s">
        <v>73</v>
      </c>
      <c r="G7" s="3" t="s">
        <v>36</v>
      </c>
      <c r="H7" s="4">
        <v>2</v>
      </c>
      <c r="I7" s="3" t="s">
        <v>74</v>
      </c>
      <c r="J7" s="3" t="s">
        <v>75</v>
      </c>
    </row>
    <row r="8" spans="1:10" x14ac:dyDescent="0.35">
      <c r="A8" s="4" t="s">
        <v>95</v>
      </c>
      <c r="B8" s="3" t="s">
        <v>20</v>
      </c>
      <c r="C8" s="3" t="s">
        <v>92</v>
      </c>
      <c r="D8" s="3" t="s">
        <v>96</v>
      </c>
      <c r="E8" s="3" t="s">
        <v>97</v>
      </c>
      <c r="F8" s="4" t="s">
        <v>87</v>
      </c>
      <c r="G8" s="3" t="s">
        <v>36</v>
      </c>
      <c r="H8" s="4">
        <v>2</v>
      </c>
      <c r="I8" s="3" t="s">
        <v>74</v>
      </c>
      <c r="J8" s="3" t="s">
        <v>75</v>
      </c>
    </row>
    <row r="9" spans="1:10" x14ac:dyDescent="0.35">
      <c r="A9" s="4" t="s">
        <v>98</v>
      </c>
      <c r="B9" s="3" t="s">
        <v>20</v>
      </c>
      <c r="C9" s="3" t="s">
        <v>92</v>
      </c>
      <c r="D9" s="3" t="s">
        <v>99</v>
      </c>
      <c r="E9" s="3" t="s">
        <v>100</v>
      </c>
      <c r="F9" s="4" t="s">
        <v>87</v>
      </c>
      <c r="G9" s="3" t="s">
        <v>36</v>
      </c>
      <c r="H9" s="4">
        <v>2</v>
      </c>
      <c r="I9" s="3" t="s">
        <v>74</v>
      </c>
      <c r="J9" s="3" t="s">
        <v>75</v>
      </c>
    </row>
    <row r="10" spans="1:10" x14ac:dyDescent="0.35">
      <c r="A10" s="4" t="s">
        <v>101</v>
      </c>
      <c r="B10" s="3" t="s">
        <v>20</v>
      </c>
      <c r="C10" s="3" t="s">
        <v>92</v>
      </c>
      <c r="D10" s="3" t="s">
        <v>102</v>
      </c>
      <c r="E10" s="3" t="s">
        <v>103</v>
      </c>
      <c r="F10" s="4" t="s">
        <v>73</v>
      </c>
      <c r="G10" s="3" t="s">
        <v>36</v>
      </c>
      <c r="H10" s="4">
        <v>2</v>
      </c>
      <c r="I10" s="3" t="s">
        <v>74</v>
      </c>
      <c r="J10" s="3" t="s">
        <v>75</v>
      </c>
    </row>
    <row r="11" spans="1:10" x14ac:dyDescent="0.35">
      <c r="A11" s="4" t="s">
        <v>104</v>
      </c>
      <c r="B11" s="3" t="s">
        <v>20</v>
      </c>
      <c r="C11" s="3" t="s">
        <v>92</v>
      </c>
      <c r="D11" s="3" t="s">
        <v>105</v>
      </c>
      <c r="E11" s="3" t="s">
        <v>106</v>
      </c>
      <c r="F11" s="4" t="s">
        <v>87</v>
      </c>
      <c r="G11" s="3" t="s">
        <v>36</v>
      </c>
      <c r="H11" s="4">
        <v>1</v>
      </c>
      <c r="I11" s="3"/>
      <c r="J11" s="3" t="s">
        <v>75</v>
      </c>
    </row>
    <row r="12" spans="1:10" x14ac:dyDescent="0.35">
      <c r="A12" s="4" t="s">
        <v>107</v>
      </c>
      <c r="B12" s="3" t="s">
        <v>20</v>
      </c>
      <c r="C12" s="3" t="s">
        <v>108</v>
      </c>
      <c r="D12" s="3" t="s">
        <v>109</v>
      </c>
      <c r="E12" s="3" t="s">
        <v>110</v>
      </c>
      <c r="F12" s="4" t="s">
        <v>31</v>
      </c>
      <c r="G12" s="3" t="s">
        <v>36</v>
      </c>
      <c r="H12" s="4">
        <v>1</v>
      </c>
      <c r="I12" s="3"/>
      <c r="J12" s="3" t="s">
        <v>75</v>
      </c>
    </row>
    <row r="13" spans="1:10" ht="25" x14ac:dyDescent="0.35">
      <c r="A13" s="4" t="s">
        <v>111</v>
      </c>
      <c r="B13" s="3" t="s">
        <v>20</v>
      </c>
      <c r="C13" s="3" t="s">
        <v>108</v>
      </c>
      <c r="D13" s="3" t="s">
        <v>112</v>
      </c>
      <c r="E13" s="3" t="s">
        <v>113</v>
      </c>
      <c r="F13" s="4" t="s">
        <v>87</v>
      </c>
      <c r="G13" s="3" t="s">
        <v>36</v>
      </c>
      <c r="H13" s="4">
        <v>1</v>
      </c>
      <c r="I13" s="3"/>
      <c r="J13" s="3" t="s">
        <v>75</v>
      </c>
    </row>
    <row r="14" spans="1:10" x14ac:dyDescent="0.35">
      <c r="A14" s="4" t="s">
        <v>114</v>
      </c>
      <c r="B14" s="3" t="s">
        <v>20</v>
      </c>
      <c r="C14" s="3" t="s">
        <v>108</v>
      </c>
      <c r="D14" s="3" t="s">
        <v>115</v>
      </c>
      <c r="E14" s="3" t="s">
        <v>116</v>
      </c>
      <c r="F14" s="4" t="s">
        <v>31</v>
      </c>
      <c r="G14" s="3" t="s">
        <v>36</v>
      </c>
      <c r="H14" s="4">
        <v>2</v>
      </c>
      <c r="I14" s="3"/>
      <c r="J14" s="3" t="s">
        <v>75</v>
      </c>
    </row>
    <row r="15" spans="1:10" x14ac:dyDescent="0.35">
      <c r="A15" s="4" t="s">
        <v>117</v>
      </c>
      <c r="B15" s="3" t="s">
        <v>20</v>
      </c>
      <c r="C15" s="3" t="s">
        <v>108</v>
      </c>
      <c r="D15" s="3" t="s">
        <v>118</v>
      </c>
      <c r="E15" s="3" t="s">
        <v>119</v>
      </c>
      <c r="F15" s="4" t="s">
        <v>82</v>
      </c>
      <c r="G15" s="3" t="s">
        <v>36</v>
      </c>
      <c r="H15" s="4">
        <v>1</v>
      </c>
      <c r="I15" s="3" t="s">
        <v>83</v>
      </c>
      <c r="J15" s="3" t="s">
        <v>75</v>
      </c>
    </row>
    <row r="16" spans="1:10" x14ac:dyDescent="0.35">
      <c r="A16" s="4" t="s">
        <v>120</v>
      </c>
      <c r="B16" s="3" t="s">
        <v>20</v>
      </c>
      <c r="C16" s="3" t="s">
        <v>108</v>
      </c>
      <c r="D16" s="3" t="s">
        <v>121</v>
      </c>
      <c r="E16" s="3" t="s">
        <v>122</v>
      </c>
      <c r="F16" s="4" t="s">
        <v>82</v>
      </c>
      <c r="G16" s="3" t="s">
        <v>36</v>
      </c>
      <c r="H16" s="4">
        <v>2</v>
      </c>
      <c r="I16" s="3"/>
      <c r="J16" s="3" t="s">
        <v>75</v>
      </c>
    </row>
    <row r="17" spans="1:10" x14ac:dyDescent="0.35">
      <c r="A17" s="4" t="s">
        <v>123</v>
      </c>
      <c r="B17" s="3" t="s">
        <v>20</v>
      </c>
      <c r="C17" s="3" t="s">
        <v>70</v>
      </c>
      <c r="D17" s="3" t="s">
        <v>124</v>
      </c>
      <c r="E17" s="3" t="s">
        <v>125</v>
      </c>
      <c r="F17" s="4" t="s">
        <v>82</v>
      </c>
      <c r="G17" s="3" t="s">
        <v>27</v>
      </c>
      <c r="H17" s="4">
        <v>4</v>
      </c>
      <c r="I17" s="3" t="s">
        <v>126</v>
      </c>
      <c r="J17" s="3" t="s">
        <v>127</v>
      </c>
    </row>
    <row r="18" spans="1:10" x14ac:dyDescent="0.35">
      <c r="A18" s="4" t="s">
        <v>128</v>
      </c>
      <c r="B18" s="3" t="s">
        <v>20</v>
      </c>
      <c r="C18" s="3" t="s">
        <v>70</v>
      </c>
      <c r="D18" s="3" t="s">
        <v>129</v>
      </c>
      <c r="E18" s="3" t="s">
        <v>130</v>
      </c>
      <c r="F18" s="4" t="s">
        <v>82</v>
      </c>
      <c r="G18" s="3" t="s">
        <v>27</v>
      </c>
      <c r="H18" s="4">
        <v>3</v>
      </c>
      <c r="I18" s="3" t="s">
        <v>83</v>
      </c>
      <c r="J18" s="3" t="s">
        <v>127</v>
      </c>
    </row>
    <row r="19" spans="1:10" x14ac:dyDescent="0.35">
      <c r="A19" s="4" t="s">
        <v>131</v>
      </c>
      <c r="B19" s="3" t="s">
        <v>20</v>
      </c>
      <c r="C19" s="3" t="s">
        <v>70</v>
      </c>
      <c r="D19" s="3" t="s">
        <v>132</v>
      </c>
      <c r="E19" s="3" t="s">
        <v>133</v>
      </c>
      <c r="F19" s="4" t="s">
        <v>31</v>
      </c>
      <c r="G19" s="3" t="s">
        <v>27</v>
      </c>
      <c r="H19" s="4">
        <v>3</v>
      </c>
      <c r="I19" s="3" t="s">
        <v>134</v>
      </c>
      <c r="J19" s="3" t="s">
        <v>127</v>
      </c>
    </row>
    <row r="20" spans="1:10" x14ac:dyDescent="0.35">
      <c r="A20" s="4" t="s">
        <v>135</v>
      </c>
      <c r="B20" s="3" t="s">
        <v>20</v>
      </c>
      <c r="C20" s="3" t="s">
        <v>70</v>
      </c>
      <c r="D20" s="3" t="s">
        <v>136</v>
      </c>
      <c r="E20" s="3" t="s">
        <v>137</v>
      </c>
      <c r="F20" s="4" t="s">
        <v>82</v>
      </c>
      <c r="G20" s="3" t="s">
        <v>27</v>
      </c>
      <c r="H20" s="4">
        <v>1</v>
      </c>
      <c r="I20" s="3" t="s">
        <v>83</v>
      </c>
      <c r="J20" s="3" t="s">
        <v>127</v>
      </c>
    </row>
    <row r="21" spans="1:10" ht="25" x14ac:dyDescent="0.35">
      <c r="A21" s="4" t="s">
        <v>138</v>
      </c>
      <c r="B21" s="3" t="s">
        <v>20</v>
      </c>
      <c r="C21" s="3" t="s">
        <v>70</v>
      </c>
      <c r="D21" s="3" t="s">
        <v>139</v>
      </c>
      <c r="E21" s="3" t="s">
        <v>140</v>
      </c>
      <c r="F21" s="4" t="s">
        <v>31</v>
      </c>
      <c r="G21" s="3" t="s">
        <v>27</v>
      </c>
      <c r="H21" s="4">
        <v>1</v>
      </c>
      <c r="I21" s="3" t="s">
        <v>134</v>
      </c>
      <c r="J21" s="3" t="s">
        <v>127</v>
      </c>
    </row>
    <row r="22" spans="1:10" x14ac:dyDescent="0.35">
      <c r="A22" s="4" t="s">
        <v>141</v>
      </c>
      <c r="B22" s="3" t="s">
        <v>20</v>
      </c>
      <c r="C22" s="3" t="s">
        <v>92</v>
      </c>
      <c r="D22" s="3" t="s">
        <v>142</v>
      </c>
      <c r="E22" s="3" t="s">
        <v>143</v>
      </c>
      <c r="F22" s="4" t="s">
        <v>31</v>
      </c>
      <c r="G22" s="3" t="s">
        <v>27</v>
      </c>
      <c r="H22" s="4">
        <v>1</v>
      </c>
      <c r="I22" s="3" t="s">
        <v>144</v>
      </c>
      <c r="J22" s="3" t="s">
        <v>127</v>
      </c>
    </row>
    <row r="23" spans="1:10" x14ac:dyDescent="0.35">
      <c r="A23" s="4" t="s">
        <v>145</v>
      </c>
      <c r="B23" s="3" t="s">
        <v>20</v>
      </c>
      <c r="C23" s="3" t="s">
        <v>92</v>
      </c>
      <c r="D23" s="3" t="s">
        <v>146</v>
      </c>
      <c r="E23" s="3" t="s">
        <v>147</v>
      </c>
      <c r="F23" s="4" t="s">
        <v>31</v>
      </c>
      <c r="G23" s="3" t="s">
        <v>27</v>
      </c>
      <c r="H23" s="4">
        <v>1</v>
      </c>
      <c r="I23" s="3" t="s">
        <v>134</v>
      </c>
      <c r="J23" s="3" t="s">
        <v>127</v>
      </c>
    </row>
    <row r="24" spans="1:10" x14ac:dyDescent="0.35">
      <c r="A24" s="4" t="s">
        <v>148</v>
      </c>
      <c r="B24" s="3" t="s">
        <v>20</v>
      </c>
      <c r="C24" s="3" t="s">
        <v>92</v>
      </c>
      <c r="D24" s="3" t="s">
        <v>149</v>
      </c>
      <c r="E24" s="3" t="s">
        <v>150</v>
      </c>
      <c r="F24" s="4" t="s">
        <v>31</v>
      </c>
      <c r="G24" s="3" t="s">
        <v>27</v>
      </c>
      <c r="H24" s="4">
        <v>1</v>
      </c>
      <c r="I24" s="3" t="s">
        <v>134</v>
      </c>
      <c r="J24" s="3" t="s">
        <v>127</v>
      </c>
    </row>
    <row r="25" spans="1:10" x14ac:dyDescent="0.35">
      <c r="A25" s="4" t="s">
        <v>151</v>
      </c>
      <c r="B25" s="3" t="s">
        <v>20</v>
      </c>
      <c r="C25" s="3" t="s">
        <v>92</v>
      </c>
      <c r="D25" s="3" t="s">
        <v>152</v>
      </c>
      <c r="E25" s="3" t="s">
        <v>153</v>
      </c>
      <c r="F25" s="4" t="s">
        <v>31</v>
      </c>
      <c r="G25" s="3" t="s">
        <v>27</v>
      </c>
      <c r="H25" s="4">
        <v>1</v>
      </c>
      <c r="I25" s="3" t="s">
        <v>134</v>
      </c>
      <c r="J25" s="3" t="s">
        <v>127</v>
      </c>
    </row>
    <row r="26" spans="1:10" x14ac:dyDescent="0.35">
      <c r="A26" s="4" t="s">
        <v>154</v>
      </c>
      <c r="B26" s="3" t="s">
        <v>20</v>
      </c>
      <c r="C26" s="3" t="s">
        <v>92</v>
      </c>
      <c r="D26" s="3" t="s">
        <v>155</v>
      </c>
      <c r="E26" s="3" t="s">
        <v>156</v>
      </c>
      <c r="F26" s="4" t="s">
        <v>31</v>
      </c>
      <c r="G26" s="3" t="s">
        <v>27</v>
      </c>
      <c r="H26" s="4">
        <v>3</v>
      </c>
      <c r="I26" s="3" t="s">
        <v>134</v>
      </c>
      <c r="J26" s="3" t="s">
        <v>127</v>
      </c>
    </row>
    <row r="27" spans="1:10" ht="25" x14ac:dyDescent="0.35">
      <c r="A27" s="4" t="s">
        <v>157</v>
      </c>
      <c r="B27" s="3" t="s">
        <v>20</v>
      </c>
      <c r="C27" s="3" t="s">
        <v>108</v>
      </c>
      <c r="D27" s="3" t="s">
        <v>158</v>
      </c>
      <c r="E27" s="3" t="s">
        <v>159</v>
      </c>
      <c r="F27" s="4" t="s">
        <v>82</v>
      </c>
      <c r="G27" s="3" t="s">
        <v>27</v>
      </c>
      <c r="H27" s="4">
        <v>1</v>
      </c>
      <c r="I27" s="3" t="s">
        <v>160</v>
      </c>
      <c r="J27" s="3" t="s">
        <v>127</v>
      </c>
    </row>
    <row r="28" spans="1:10" x14ac:dyDescent="0.35">
      <c r="A28" s="4" t="s">
        <v>161</v>
      </c>
      <c r="B28" s="3" t="s">
        <v>20</v>
      </c>
      <c r="C28" s="3" t="s">
        <v>108</v>
      </c>
      <c r="D28" s="3" t="s">
        <v>162</v>
      </c>
      <c r="E28" s="3" t="s">
        <v>163</v>
      </c>
      <c r="F28" s="4" t="s">
        <v>31</v>
      </c>
      <c r="G28" s="3" t="s">
        <v>27</v>
      </c>
      <c r="H28" s="4">
        <v>1</v>
      </c>
      <c r="I28" s="3"/>
      <c r="J28" s="3" t="s">
        <v>127</v>
      </c>
    </row>
    <row r="29" spans="1:10" x14ac:dyDescent="0.35">
      <c r="A29" s="4" t="s">
        <v>164</v>
      </c>
      <c r="B29" s="3" t="s">
        <v>20</v>
      </c>
      <c r="C29" s="3" t="s">
        <v>108</v>
      </c>
      <c r="D29" s="3" t="s">
        <v>165</v>
      </c>
      <c r="E29" s="3" t="s">
        <v>166</v>
      </c>
      <c r="F29" s="4" t="s">
        <v>82</v>
      </c>
      <c r="G29" s="3" t="s">
        <v>27</v>
      </c>
      <c r="H29" s="4">
        <v>1</v>
      </c>
      <c r="I29" s="3" t="s">
        <v>83</v>
      </c>
      <c r="J29" s="3" t="s">
        <v>127</v>
      </c>
    </row>
    <row r="30" spans="1:10" x14ac:dyDescent="0.35">
      <c r="A30" s="4" t="s">
        <v>167</v>
      </c>
      <c r="B30" s="3" t="s">
        <v>20</v>
      </c>
      <c r="C30" s="3" t="s">
        <v>108</v>
      </c>
      <c r="D30" s="3" t="s">
        <v>168</v>
      </c>
      <c r="E30" s="3" t="s">
        <v>169</v>
      </c>
      <c r="F30" s="4" t="s">
        <v>31</v>
      </c>
      <c r="G30" s="3" t="s">
        <v>27</v>
      </c>
      <c r="H30" s="4">
        <v>1</v>
      </c>
      <c r="I30" s="3"/>
      <c r="J30" s="3" t="s">
        <v>127</v>
      </c>
    </row>
    <row r="31" spans="1:10" x14ac:dyDescent="0.35">
      <c r="A31" s="4" t="s">
        <v>170</v>
      </c>
      <c r="B31" s="3" t="s">
        <v>20</v>
      </c>
      <c r="C31" s="3" t="s">
        <v>108</v>
      </c>
      <c r="D31" s="3" t="s">
        <v>171</v>
      </c>
      <c r="E31" s="3" t="s">
        <v>172</v>
      </c>
      <c r="F31" s="4" t="s">
        <v>31</v>
      </c>
      <c r="G31" s="3" t="s">
        <v>27</v>
      </c>
      <c r="H31" s="4">
        <v>1</v>
      </c>
      <c r="I31" s="3"/>
      <c r="J31" s="3" t="s">
        <v>127</v>
      </c>
    </row>
    <row r="32" spans="1:10" x14ac:dyDescent="0.35">
      <c r="A32" s="4" t="s">
        <v>173</v>
      </c>
      <c r="B32" s="3" t="s">
        <v>55</v>
      </c>
      <c r="C32" s="3" t="s">
        <v>174</v>
      </c>
      <c r="D32" s="3" t="s">
        <v>175</v>
      </c>
      <c r="E32" s="3" t="s">
        <v>176</v>
      </c>
      <c r="F32" s="4" t="s">
        <v>82</v>
      </c>
      <c r="G32" s="3" t="s">
        <v>36</v>
      </c>
      <c r="H32" s="4">
        <v>1</v>
      </c>
      <c r="I32" s="3" t="s">
        <v>74</v>
      </c>
      <c r="J32" s="3" t="s">
        <v>177</v>
      </c>
    </row>
    <row r="33" spans="1:10" x14ac:dyDescent="0.35">
      <c r="A33" s="4" t="s">
        <v>178</v>
      </c>
      <c r="B33" s="3" t="s">
        <v>55</v>
      </c>
      <c r="C33" s="3" t="s">
        <v>174</v>
      </c>
      <c r="D33" s="3" t="s">
        <v>179</v>
      </c>
      <c r="E33" s="3" t="s">
        <v>180</v>
      </c>
      <c r="F33" s="4" t="s">
        <v>87</v>
      </c>
      <c r="G33" s="3" t="s">
        <v>36</v>
      </c>
      <c r="H33" s="4">
        <v>1</v>
      </c>
      <c r="I33" s="3" t="s">
        <v>134</v>
      </c>
      <c r="J33" s="3" t="s">
        <v>177</v>
      </c>
    </row>
    <row r="34" spans="1:10" x14ac:dyDescent="0.35">
      <c r="A34" s="4" t="s">
        <v>181</v>
      </c>
      <c r="B34" s="3" t="s">
        <v>55</v>
      </c>
      <c r="C34" s="3" t="s">
        <v>174</v>
      </c>
      <c r="D34" s="3" t="s">
        <v>182</v>
      </c>
      <c r="E34" s="3" t="s">
        <v>183</v>
      </c>
      <c r="F34" s="4" t="s">
        <v>87</v>
      </c>
      <c r="G34" s="3" t="s">
        <v>36</v>
      </c>
      <c r="H34" s="4">
        <v>1</v>
      </c>
      <c r="I34" s="3" t="s">
        <v>184</v>
      </c>
      <c r="J34" s="3" t="s">
        <v>177</v>
      </c>
    </row>
    <row r="35" spans="1:10" x14ac:dyDescent="0.35">
      <c r="A35" s="4" t="s">
        <v>185</v>
      </c>
      <c r="B35" s="3" t="s">
        <v>55</v>
      </c>
      <c r="C35" s="3" t="s">
        <v>174</v>
      </c>
      <c r="D35" s="3" t="s">
        <v>186</v>
      </c>
      <c r="E35" s="3" t="s">
        <v>187</v>
      </c>
      <c r="F35" s="4" t="s">
        <v>87</v>
      </c>
      <c r="G35" s="3" t="s">
        <v>36</v>
      </c>
      <c r="H35" s="4">
        <v>1</v>
      </c>
      <c r="I35" s="3" t="s">
        <v>184</v>
      </c>
      <c r="J35" s="3" t="s">
        <v>177</v>
      </c>
    </row>
    <row r="36" spans="1:10" x14ac:dyDescent="0.35">
      <c r="A36" s="4" t="s">
        <v>188</v>
      </c>
      <c r="B36" s="3" t="s">
        <v>55</v>
      </c>
      <c r="C36" s="3" t="s">
        <v>174</v>
      </c>
      <c r="D36" s="3" t="s">
        <v>189</v>
      </c>
      <c r="E36" s="3" t="s">
        <v>190</v>
      </c>
      <c r="F36" s="4" t="s">
        <v>87</v>
      </c>
      <c r="G36" s="3" t="s">
        <v>36</v>
      </c>
      <c r="H36" s="4">
        <v>1</v>
      </c>
      <c r="I36" s="3" t="s">
        <v>184</v>
      </c>
      <c r="J36" s="3" t="s">
        <v>177</v>
      </c>
    </row>
    <row r="37" spans="1:10" x14ac:dyDescent="0.35">
      <c r="A37" s="4" t="s">
        <v>191</v>
      </c>
      <c r="B37" s="3" t="s">
        <v>55</v>
      </c>
      <c r="C37" s="3" t="s">
        <v>192</v>
      </c>
      <c r="D37" s="3" t="s">
        <v>193</v>
      </c>
      <c r="E37" s="3" t="s">
        <v>194</v>
      </c>
      <c r="F37" s="4" t="s">
        <v>87</v>
      </c>
      <c r="G37" s="3" t="s">
        <v>36</v>
      </c>
      <c r="H37" s="4">
        <v>1</v>
      </c>
      <c r="I37" s="3" t="s">
        <v>74</v>
      </c>
      <c r="J37" s="3" t="s">
        <v>177</v>
      </c>
    </row>
    <row r="38" spans="1:10" x14ac:dyDescent="0.35">
      <c r="A38" s="4" t="s">
        <v>195</v>
      </c>
      <c r="B38" s="3" t="s">
        <v>55</v>
      </c>
      <c r="C38" s="3" t="s">
        <v>192</v>
      </c>
      <c r="D38" s="3" t="s">
        <v>196</v>
      </c>
      <c r="E38" s="3" t="s">
        <v>197</v>
      </c>
      <c r="F38" s="4" t="s">
        <v>73</v>
      </c>
      <c r="G38" s="3" t="s">
        <v>36</v>
      </c>
      <c r="H38" s="4">
        <v>1</v>
      </c>
      <c r="I38" s="3" t="s">
        <v>74</v>
      </c>
      <c r="J38" s="3" t="s">
        <v>177</v>
      </c>
    </row>
    <row r="39" spans="1:10" x14ac:dyDescent="0.35">
      <c r="A39" s="4" t="s">
        <v>198</v>
      </c>
      <c r="B39" s="3" t="s">
        <v>55</v>
      </c>
      <c r="C39" s="3" t="s">
        <v>192</v>
      </c>
      <c r="D39" s="3" t="s">
        <v>199</v>
      </c>
      <c r="E39" s="3" t="s">
        <v>200</v>
      </c>
      <c r="F39" s="4" t="s">
        <v>87</v>
      </c>
      <c r="G39" s="3" t="s">
        <v>36</v>
      </c>
      <c r="H39" s="4">
        <v>1</v>
      </c>
      <c r="I39" s="3" t="s">
        <v>201</v>
      </c>
      <c r="J39" s="3" t="s">
        <v>177</v>
      </c>
    </row>
    <row r="40" spans="1:10" x14ac:dyDescent="0.35">
      <c r="A40" s="4" t="s">
        <v>202</v>
      </c>
      <c r="B40" s="3" t="s">
        <v>55</v>
      </c>
      <c r="C40" s="3" t="s">
        <v>192</v>
      </c>
      <c r="D40" s="3" t="s">
        <v>203</v>
      </c>
      <c r="E40" s="3" t="s">
        <v>204</v>
      </c>
      <c r="F40" s="4" t="s">
        <v>87</v>
      </c>
      <c r="G40" s="3" t="s">
        <v>36</v>
      </c>
      <c r="H40" s="4">
        <v>1</v>
      </c>
      <c r="I40" s="3" t="s">
        <v>134</v>
      </c>
      <c r="J40" s="3" t="s">
        <v>177</v>
      </c>
    </row>
    <row r="41" spans="1:10" ht="25" x14ac:dyDescent="0.35">
      <c r="A41" s="4" t="s">
        <v>205</v>
      </c>
      <c r="B41" s="3" t="s">
        <v>55</v>
      </c>
      <c r="C41" s="3" t="s">
        <v>192</v>
      </c>
      <c r="D41" s="3" t="s">
        <v>206</v>
      </c>
      <c r="E41" s="3" t="s">
        <v>207</v>
      </c>
      <c r="F41" s="4" t="s">
        <v>87</v>
      </c>
      <c r="G41" s="3" t="s">
        <v>36</v>
      </c>
      <c r="H41" s="4">
        <v>1</v>
      </c>
      <c r="I41" s="3" t="s">
        <v>74</v>
      </c>
      <c r="J41" s="3" t="s">
        <v>177</v>
      </c>
    </row>
    <row r="42" spans="1:10" x14ac:dyDescent="0.35">
      <c r="A42" s="4" t="s">
        <v>208</v>
      </c>
      <c r="B42" s="3" t="s">
        <v>55</v>
      </c>
      <c r="C42" s="3" t="s">
        <v>209</v>
      </c>
      <c r="D42" s="3" t="s">
        <v>210</v>
      </c>
      <c r="E42" s="3" t="s">
        <v>211</v>
      </c>
      <c r="F42" s="4" t="s">
        <v>82</v>
      </c>
      <c r="G42" s="3" t="s">
        <v>36</v>
      </c>
      <c r="H42" s="4">
        <v>1</v>
      </c>
      <c r="I42" s="3" t="s">
        <v>74</v>
      </c>
      <c r="J42" s="3" t="s">
        <v>177</v>
      </c>
    </row>
    <row r="43" spans="1:10" x14ac:dyDescent="0.35">
      <c r="A43" s="4" t="s">
        <v>212</v>
      </c>
      <c r="B43" s="3" t="s">
        <v>55</v>
      </c>
      <c r="C43" s="3" t="s">
        <v>209</v>
      </c>
      <c r="D43" s="3" t="s">
        <v>213</v>
      </c>
      <c r="E43" s="3" t="s">
        <v>214</v>
      </c>
      <c r="F43" s="4" t="s">
        <v>87</v>
      </c>
      <c r="G43" s="3" t="s">
        <v>36</v>
      </c>
      <c r="H43" s="4">
        <v>1</v>
      </c>
      <c r="I43" s="3" t="s">
        <v>74</v>
      </c>
      <c r="J43" s="3" t="s">
        <v>177</v>
      </c>
    </row>
    <row r="44" spans="1:10" x14ac:dyDescent="0.35">
      <c r="A44" s="4" t="s">
        <v>215</v>
      </c>
      <c r="B44" s="3" t="s">
        <v>55</v>
      </c>
      <c r="C44" s="3" t="s">
        <v>209</v>
      </c>
      <c r="D44" s="3" t="s">
        <v>216</v>
      </c>
      <c r="E44" s="3" t="s">
        <v>217</v>
      </c>
      <c r="F44" s="4" t="s">
        <v>87</v>
      </c>
      <c r="G44" s="3" t="s">
        <v>36</v>
      </c>
      <c r="H44" s="4">
        <v>1</v>
      </c>
      <c r="I44" s="3" t="s">
        <v>134</v>
      </c>
      <c r="J44" s="3" t="s">
        <v>177</v>
      </c>
    </row>
    <row r="45" spans="1:10" x14ac:dyDescent="0.35">
      <c r="A45" s="4" t="s">
        <v>218</v>
      </c>
      <c r="B45" s="3" t="s">
        <v>55</v>
      </c>
      <c r="C45" s="3" t="s">
        <v>209</v>
      </c>
      <c r="D45" s="3" t="s">
        <v>219</v>
      </c>
      <c r="E45" s="3" t="s">
        <v>220</v>
      </c>
      <c r="F45" s="4" t="s">
        <v>82</v>
      </c>
      <c r="G45" s="3" t="s">
        <v>36</v>
      </c>
      <c r="H45" s="4">
        <v>1</v>
      </c>
      <c r="I45" s="3" t="s">
        <v>83</v>
      </c>
      <c r="J45" s="3" t="s">
        <v>177</v>
      </c>
    </row>
    <row r="46" spans="1:10" x14ac:dyDescent="0.35">
      <c r="A46" s="4" t="s">
        <v>221</v>
      </c>
      <c r="B46" s="3" t="s">
        <v>55</v>
      </c>
      <c r="C46" s="3" t="s">
        <v>209</v>
      </c>
      <c r="D46" s="3" t="s">
        <v>222</v>
      </c>
      <c r="E46" s="3" t="s">
        <v>223</v>
      </c>
      <c r="F46" s="4" t="s">
        <v>87</v>
      </c>
      <c r="G46" s="3" t="s">
        <v>36</v>
      </c>
      <c r="H46" s="4">
        <v>1</v>
      </c>
      <c r="I46" s="3" t="s">
        <v>184</v>
      </c>
      <c r="J46" s="3" t="s">
        <v>177</v>
      </c>
    </row>
    <row r="47" spans="1:10" ht="25" x14ac:dyDescent="0.35">
      <c r="A47" s="4" t="s">
        <v>224</v>
      </c>
      <c r="B47" s="3" t="s">
        <v>55</v>
      </c>
      <c r="C47" s="3" t="s">
        <v>225</v>
      </c>
      <c r="D47" s="3" t="s">
        <v>226</v>
      </c>
      <c r="E47" s="3" t="s">
        <v>227</v>
      </c>
      <c r="F47" s="4" t="s">
        <v>87</v>
      </c>
      <c r="G47" s="3" t="s">
        <v>36</v>
      </c>
      <c r="H47" s="4">
        <v>1</v>
      </c>
      <c r="I47" s="3" t="s">
        <v>228</v>
      </c>
      <c r="J47" s="3" t="s">
        <v>177</v>
      </c>
    </row>
    <row r="48" spans="1:10" x14ac:dyDescent="0.35">
      <c r="A48" s="4" t="s">
        <v>229</v>
      </c>
      <c r="B48" s="3" t="s">
        <v>55</v>
      </c>
      <c r="C48" s="3" t="s">
        <v>225</v>
      </c>
      <c r="D48" s="3" t="s">
        <v>230</v>
      </c>
      <c r="E48" s="3" t="s">
        <v>231</v>
      </c>
      <c r="F48" s="4" t="s">
        <v>82</v>
      </c>
      <c r="G48" s="3" t="s">
        <v>36</v>
      </c>
      <c r="H48" s="4">
        <v>1</v>
      </c>
      <c r="I48" s="3" t="s">
        <v>74</v>
      </c>
      <c r="J48" s="3" t="s">
        <v>177</v>
      </c>
    </row>
    <row r="49" spans="1:10" ht="25" x14ac:dyDescent="0.35">
      <c r="A49" s="4" t="s">
        <v>232</v>
      </c>
      <c r="B49" s="3" t="s">
        <v>55</v>
      </c>
      <c r="C49" s="3" t="s">
        <v>225</v>
      </c>
      <c r="D49" s="3" t="s">
        <v>233</v>
      </c>
      <c r="E49" s="3" t="s">
        <v>234</v>
      </c>
      <c r="F49" s="4" t="s">
        <v>87</v>
      </c>
      <c r="G49" s="3" t="s">
        <v>36</v>
      </c>
      <c r="H49" s="4">
        <v>1</v>
      </c>
      <c r="I49" s="3" t="s">
        <v>184</v>
      </c>
      <c r="J49" s="3" t="s">
        <v>177</v>
      </c>
    </row>
    <row r="50" spans="1:10" ht="25" x14ac:dyDescent="0.35">
      <c r="A50" s="4" t="s">
        <v>235</v>
      </c>
      <c r="B50" s="3" t="s">
        <v>55</v>
      </c>
      <c r="C50" s="3" t="s">
        <v>225</v>
      </c>
      <c r="D50" s="3" t="s">
        <v>236</v>
      </c>
      <c r="E50" s="3" t="s">
        <v>237</v>
      </c>
      <c r="F50" s="4" t="s">
        <v>31</v>
      </c>
      <c r="G50" s="3" t="s">
        <v>36</v>
      </c>
      <c r="H50" s="4">
        <v>1</v>
      </c>
      <c r="I50" s="3" t="s">
        <v>184</v>
      </c>
      <c r="J50" s="3" t="s">
        <v>177</v>
      </c>
    </row>
    <row r="51" spans="1:10" x14ac:dyDescent="0.35">
      <c r="A51" s="4" t="s">
        <v>238</v>
      </c>
      <c r="B51" s="3" t="s">
        <v>55</v>
      </c>
      <c r="C51" s="3" t="s">
        <v>225</v>
      </c>
      <c r="D51" s="3" t="s">
        <v>239</v>
      </c>
      <c r="E51" s="3" t="s">
        <v>240</v>
      </c>
      <c r="F51" s="4" t="s">
        <v>87</v>
      </c>
      <c r="G51" s="3" t="s">
        <v>36</v>
      </c>
      <c r="H51" s="4">
        <v>1</v>
      </c>
      <c r="I51" s="3" t="s">
        <v>184</v>
      </c>
      <c r="J51" s="3" t="s">
        <v>177</v>
      </c>
    </row>
    <row r="52" spans="1:10" x14ac:dyDescent="0.35">
      <c r="A52" s="4" t="s">
        <v>241</v>
      </c>
      <c r="B52" s="3" t="s">
        <v>55</v>
      </c>
      <c r="C52" s="3" t="s">
        <v>174</v>
      </c>
      <c r="D52" s="3" t="s">
        <v>242</v>
      </c>
      <c r="E52" s="3" t="s">
        <v>243</v>
      </c>
      <c r="F52" s="4" t="s">
        <v>31</v>
      </c>
      <c r="G52" s="3" t="s">
        <v>27</v>
      </c>
      <c r="H52" s="4">
        <v>1</v>
      </c>
      <c r="I52" s="3" t="s">
        <v>244</v>
      </c>
      <c r="J52" s="3" t="s">
        <v>245</v>
      </c>
    </row>
    <row r="53" spans="1:10" x14ac:dyDescent="0.35">
      <c r="A53" s="4" t="s">
        <v>246</v>
      </c>
      <c r="B53" s="3" t="s">
        <v>55</v>
      </c>
      <c r="C53" s="3" t="s">
        <v>174</v>
      </c>
      <c r="D53" s="3" t="s">
        <v>247</v>
      </c>
      <c r="E53" s="3" t="s">
        <v>248</v>
      </c>
      <c r="F53" s="4" t="s">
        <v>31</v>
      </c>
      <c r="G53" s="3" t="s">
        <v>27</v>
      </c>
      <c r="H53" s="4">
        <v>1</v>
      </c>
      <c r="I53" s="3" t="s">
        <v>134</v>
      </c>
      <c r="J53" s="3" t="s">
        <v>245</v>
      </c>
    </row>
    <row r="54" spans="1:10" x14ac:dyDescent="0.35">
      <c r="A54" s="4" t="s">
        <v>249</v>
      </c>
      <c r="B54" s="3" t="s">
        <v>55</v>
      </c>
      <c r="C54" s="3" t="s">
        <v>174</v>
      </c>
      <c r="D54" s="3" t="s">
        <v>250</v>
      </c>
      <c r="E54" s="3" t="s">
        <v>251</v>
      </c>
      <c r="F54" s="4" t="s">
        <v>31</v>
      </c>
      <c r="G54" s="3" t="s">
        <v>27</v>
      </c>
      <c r="H54" s="4">
        <v>1</v>
      </c>
      <c r="I54" s="3" t="s">
        <v>134</v>
      </c>
      <c r="J54" s="3" t="s">
        <v>245</v>
      </c>
    </row>
    <row r="55" spans="1:10" x14ac:dyDescent="0.35">
      <c r="A55" s="4" t="s">
        <v>252</v>
      </c>
      <c r="B55" s="3" t="s">
        <v>55</v>
      </c>
      <c r="C55" s="3" t="s">
        <v>174</v>
      </c>
      <c r="D55" s="3" t="s">
        <v>253</v>
      </c>
      <c r="E55" s="3" t="s">
        <v>254</v>
      </c>
      <c r="F55" s="4" t="s">
        <v>31</v>
      </c>
      <c r="G55" s="3" t="s">
        <v>27</v>
      </c>
      <c r="H55" s="4">
        <v>1</v>
      </c>
      <c r="I55" s="3" t="s">
        <v>184</v>
      </c>
      <c r="J55" s="3" t="s">
        <v>245</v>
      </c>
    </row>
    <row r="56" spans="1:10" x14ac:dyDescent="0.35">
      <c r="A56" s="4" t="s">
        <v>255</v>
      </c>
      <c r="B56" s="3" t="s">
        <v>55</v>
      </c>
      <c r="C56" s="3" t="s">
        <v>174</v>
      </c>
      <c r="D56" s="3" t="s">
        <v>256</v>
      </c>
      <c r="E56" s="3" t="s">
        <v>257</v>
      </c>
      <c r="F56" s="4" t="s">
        <v>31</v>
      </c>
      <c r="G56" s="3" t="s">
        <v>27</v>
      </c>
      <c r="H56" s="4">
        <v>1</v>
      </c>
      <c r="I56" s="3" t="s">
        <v>134</v>
      </c>
      <c r="J56" s="3" t="s">
        <v>245</v>
      </c>
    </row>
    <row r="57" spans="1:10" x14ac:dyDescent="0.35">
      <c r="A57" s="4" t="s">
        <v>258</v>
      </c>
      <c r="B57" s="3" t="s">
        <v>55</v>
      </c>
      <c r="C57" s="3" t="s">
        <v>192</v>
      </c>
      <c r="D57" s="3" t="s">
        <v>259</v>
      </c>
      <c r="E57" s="3" t="s">
        <v>260</v>
      </c>
      <c r="F57" s="4" t="s">
        <v>31</v>
      </c>
      <c r="G57" s="3" t="s">
        <v>27</v>
      </c>
      <c r="H57" s="4">
        <v>1</v>
      </c>
      <c r="I57" s="3" t="s">
        <v>144</v>
      </c>
      <c r="J57" s="3" t="s">
        <v>245</v>
      </c>
    </row>
    <row r="58" spans="1:10" x14ac:dyDescent="0.35">
      <c r="A58" s="4" t="s">
        <v>261</v>
      </c>
      <c r="B58" s="3" t="s">
        <v>55</v>
      </c>
      <c r="C58" s="3" t="s">
        <v>192</v>
      </c>
      <c r="D58" s="3" t="s">
        <v>262</v>
      </c>
      <c r="E58" s="3" t="s">
        <v>263</v>
      </c>
      <c r="F58" s="4" t="s">
        <v>31</v>
      </c>
      <c r="G58" s="3" t="s">
        <v>27</v>
      </c>
      <c r="H58" s="4">
        <v>1</v>
      </c>
      <c r="I58" s="3" t="s">
        <v>184</v>
      </c>
      <c r="J58" s="3" t="s">
        <v>245</v>
      </c>
    </row>
    <row r="59" spans="1:10" x14ac:dyDescent="0.35">
      <c r="A59" s="4" t="s">
        <v>264</v>
      </c>
      <c r="B59" s="3" t="s">
        <v>55</v>
      </c>
      <c r="C59" s="3" t="s">
        <v>192</v>
      </c>
      <c r="D59" s="3" t="s">
        <v>265</v>
      </c>
      <c r="E59" s="3" t="s">
        <v>266</v>
      </c>
      <c r="F59" s="4" t="s">
        <v>31</v>
      </c>
      <c r="G59" s="3" t="s">
        <v>27</v>
      </c>
      <c r="H59" s="4">
        <v>1</v>
      </c>
      <c r="I59" s="3" t="s">
        <v>134</v>
      </c>
      <c r="J59" s="3" t="s">
        <v>245</v>
      </c>
    </row>
    <row r="60" spans="1:10" x14ac:dyDescent="0.35">
      <c r="A60" s="4" t="s">
        <v>267</v>
      </c>
      <c r="B60" s="3" t="s">
        <v>55</v>
      </c>
      <c r="C60" s="3" t="s">
        <v>192</v>
      </c>
      <c r="D60" s="3" t="s">
        <v>268</v>
      </c>
      <c r="E60" s="3" t="s">
        <v>269</v>
      </c>
      <c r="F60" s="4" t="s">
        <v>31</v>
      </c>
      <c r="G60" s="3" t="s">
        <v>27</v>
      </c>
      <c r="H60" s="4">
        <v>2</v>
      </c>
      <c r="I60" s="3" t="s">
        <v>134</v>
      </c>
      <c r="J60" s="3" t="s">
        <v>245</v>
      </c>
    </row>
    <row r="61" spans="1:10" x14ac:dyDescent="0.35">
      <c r="A61" s="4" t="s">
        <v>270</v>
      </c>
      <c r="B61" s="3" t="s">
        <v>55</v>
      </c>
      <c r="C61" s="3" t="s">
        <v>192</v>
      </c>
      <c r="D61" s="3" t="s">
        <v>271</v>
      </c>
      <c r="E61" s="3" t="s">
        <v>272</v>
      </c>
      <c r="F61" s="4" t="s">
        <v>31</v>
      </c>
      <c r="G61" s="3" t="s">
        <v>27</v>
      </c>
      <c r="H61" s="4">
        <v>1</v>
      </c>
      <c r="I61" s="3" t="s">
        <v>184</v>
      </c>
      <c r="J61" s="3" t="s">
        <v>245</v>
      </c>
    </row>
    <row r="62" spans="1:10" x14ac:dyDescent="0.35">
      <c r="A62" s="4" t="s">
        <v>273</v>
      </c>
      <c r="B62" s="3" t="s">
        <v>55</v>
      </c>
      <c r="C62" s="3" t="s">
        <v>209</v>
      </c>
      <c r="D62" s="3" t="s">
        <v>274</v>
      </c>
      <c r="E62" s="3" t="s">
        <v>275</v>
      </c>
      <c r="F62" s="4" t="s">
        <v>31</v>
      </c>
      <c r="G62" s="3" t="s">
        <v>27</v>
      </c>
      <c r="H62" s="4">
        <v>1</v>
      </c>
      <c r="I62" s="3" t="s">
        <v>144</v>
      </c>
      <c r="J62" s="3" t="s">
        <v>245</v>
      </c>
    </row>
    <row r="63" spans="1:10" x14ac:dyDescent="0.35">
      <c r="A63" s="4" t="s">
        <v>276</v>
      </c>
      <c r="B63" s="3" t="s">
        <v>55</v>
      </c>
      <c r="C63" s="3" t="s">
        <v>209</v>
      </c>
      <c r="D63" s="3" t="s">
        <v>277</v>
      </c>
      <c r="E63" s="3" t="s">
        <v>278</v>
      </c>
      <c r="F63" s="4" t="s">
        <v>31</v>
      </c>
      <c r="G63" s="3" t="s">
        <v>27</v>
      </c>
      <c r="H63" s="4">
        <v>1</v>
      </c>
      <c r="I63" s="3" t="s">
        <v>134</v>
      </c>
      <c r="J63" s="3" t="s">
        <v>245</v>
      </c>
    </row>
    <row r="64" spans="1:10" x14ac:dyDescent="0.35">
      <c r="A64" s="4" t="s">
        <v>279</v>
      </c>
      <c r="B64" s="3" t="s">
        <v>55</v>
      </c>
      <c r="C64" s="3" t="s">
        <v>209</v>
      </c>
      <c r="D64" s="3" t="s">
        <v>280</v>
      </c>
      <c r="E64" s="3" t="s">
        <v>281</v>
      </c>
      <c r="F64" s="4" t="s">
        <v>31</v>
      </c>
      <c r="G64" s="3" t="s">
        <v>27</v>
      </c>
      <c r="H64" s="4">
        <v>1</v>
      </c>
      <c r="I64" s="3" t="s">
        <v>134</v>
      </c>
      <c r="J64" s="3" t="s">
        <v>245</v>
      </c>
    </row>
    <row r="65" spans="1:10" x14ac:dyDescent="0.35">
      <c r="A65" s="4" t="s">
        <v>282</v>
      </c>
      <c r="B65" s="3" t="s">
        <v>55</v>
      </c>
      <c r="C65" s="3" t="s">
        <v>209</v>
      </c>
      <c r="D65" s="3" t="s">
        <v>283</v>
      </c>
      <c r="E65" s="3" t="s">
        <v>284</v>
      </c>
      <c r="F65" s="4" t="s">
        <v>31</v>
      </c>
      <c r="G65" s="3" t="s">
        <v>27</v>
      </c>
      <c r="H65" s="4">
        <v>1</v>
      </c>
      <c r="I65" s="3" t="s">
        <v>184</v>
      </c>
      <c r="J65" s="3" t="s">
        <v>245</v>
      </c>
    </row>
    <row r="66" spans="1:10" x14ac:dyDescent="0.35">
      <c r="A66" s="4" t="s">
        <v>285</v>
      </c>
      <c r="B66" s="3" t="s">
        <v>55</v>
      </c>
      <c r="C66" s="3" t="s">
        <v>209</v>
      </c>
      <c r="D66" s="3" t="s">
        <v>286</v>
      </c>
      <c r="E66" s="3" t="s">
        <v>287</v>
      </c>
      <c r="F66" s="4" t="s">
        <v>31</v>
      </c>
      <c r="G66" s="3" t="s">
        <v>27</v>
      </c>
      <c r="H66" s="4">
        <v>1</v>
      </c>
      <c r="I66" s="3" t="s">
        <v>184</v>
      </c>
      <c r="J66" s="3" t="s">
        <v>245</v>
      </c>
    </row>
    <row r="67" spans="1:10" x14ac:dyDescent="0.35">
      <c r="A67" s="4" t="s">
        <v>288</v>
      </c>
      <c r="B67" s="3" t="s">
        <v>55</v>
      </c>
      <c r="C67" s="3" t="s">
        <v>225</v>
      </c>
      <c r="D67" s="3" t="s">
        <v>289</v>
      </c>
      <c r="E67" s="3" t="s">
        <v>290</v>
      </c>
      <c r="F67" s="4" t="s">
        <v>31</v>
      </c>
      <c r="G67" s="3" t="s">
        <v>27</v>
      </c>
      <c r="H67" s="4">
        <v>1</v>
      </c>
      <c r="I67" s="3" t="s">
        <v>291</v>
      </c>
      <c r="J67" s="3" t="s">
        <v>245</v>
      </c>
    </row>
    <row r="68" spans="1:10" x14ac:dyDescent="0.35">
      <c r="A68" s="4" t="s">
        <v>292</v>
      </c>
      <c r="B68" s="3" t="s">
        <v>55</v>
      </c>
      <c r="C68" s="3" t="s">
        <v>225</v>
      </c>
      <c r="D68" s="3" t="s">
        <v>293</v>
      </c>
      <c r="E68" s="3" t="s">
        <v>294</v>
      </c>
      <c r="F68" s="4" t="s">
        <v>31</v>
      </c>
      <c r="G68" s="3" t="s">
        <v>27</v>
      </c>
      <c r="H68" s="4">
        <v>1</v>
      </c>
      <c r="I68" s="3" t="s">
        <v>134</v>
      </c>
      <c r="J68" s="3" t="s">
        <v>245</v>
      </c>
    </row>
    <row r="69" spans="1:10" x14ac:dyDescent="0.35">
      <c r="A69" s="4" t="s">
        <v>295</v>
      </c>
      <c r="B69" s="3" t="s">
        <v>55</v>
      </c>
      <c r="C69" s="3" t="s">
        <v>225</v>
      </c>
      <c r="D69" s="3" t="s">
        <v>296</v>
      </c>
      <c r="E69" s="3" t="s">
        <v>297</v>
      </c>
      <c r="F69" s="4" t="s">
        <v>31</v>
      </c>
      <c r="G69" s="3" t="s">
        <v>27</v>
      </c>
      <c r="H69" s="4">
        <v>1</v>
      </c>
      <c r="I69" s="3" t="s">
        <v>134</v>
      </c>
      <c r="J69" s="3" t="s">
        <v>245</v>
      </c>
    </row>
    <row r="70" spans="1:10" x14ac:dyDescent="0.35">
      <c r="A70" s="4" t="s">
        <v>298</v>
      </c>
      <c r="B70" s="3" t="s">
        <v>55</v>
      </c>
      <c r="C70" s="3" t="s">
        <v>225</v>
      </c>
      <c r="D70" s="3" t="s">
        <v>299</v>
      </c>
      <c r="E70" s="3" t="s">
        <v>300</v>
      </c>
      <c r="F70" s="4" t="s">
        <v>31</v>
      </c>
      <c r="G70" s="3" t="s">
        <v>27</v>
      </c>
      <c r="H70" s="4">
        <v>1</v>
      </c>
      <c r="I70" s="3" t="s">
        <v>184</v>
      </c>
      <c r="J70" s="3" t="s">
        <v>245</v>
      </c>
    </row>
    <row r="71" spans="1:10" x14ac:dyDescent="0.35">
      <c r="A71" s="4" t="s">
        <v>301</v>
      </c>
      <c r="B71" s="3" t="s">
        <v>55</v>
      </c>
      <c r="C71" s="3" t="s">
        <v>225</v>
      </c>
      <c r="D71" s="3" t="s">
        <v>302</v>
      </c>
      <c r="E71" s="3" t="s">
        <v>303</v>
      </c>
      <c r="F71" s="4" t="s">
        <v>31</v>
      </c>
      <c r="G71" s="3" t="s">
        <v>27</v>
      </c>
      <c r="H71" s="4">
        <v>1</v>
      </c>
      <c r="I71" s="3" t="s">
        <v>184</v>
      </c>
      <c r="J71" s="3" t="s">
        <v>245</v>
      </c>
    </row>
    <row r="72" spans="1:10" x14ac:dyDescent="0.35">
      <c r="A72" s="4" t="s">
        <v>304</v>
      </c>
      <c r="B72" s="3" t="s">
        <v>39</v>
      </c>
      <c r="C72" s="3" t="s">
        <v>305</v>
      </c>
      <c r="D72" s="3" t="s">
        <v>306</v>
      </c>
      <c r="E72" s="3" t="s">
        <v>307</v>
      </c>
      <c r="F72" s="4" t="s">
        <v>82</v>
      </c>
      <c r="G72" s="3" t="s">
        <v>36</v>
      </c>
      <c r="H72" s="4">
        <v>1</v>
      </c>
      <c r="I72" s="3" t="s">
        <v>308</v>
      </c>
      <c r="J72" s="3" t="s">
        <v>309</v>
      </c>
    </row>
    <row r="73" spans="1:10" x14ac:dyDescent="0.35">
      <c r="A73" s="4" t="s">
        <v>310</v>
      </c>
      <c r="B73" s="3" t="s">
        <v>39</v>
      </c>
      <c r="C73" s="3" t="s">
        <v>305</v>
      </c>
      <c r="D73" s="3" t="s">
        <v>311</v>
      </c>
      <c r="E73" s="3" t="s">
        <v>312</v>
      </c>
      <c r="F73" s="4" t="s">
        <v>73</v>
      </c>
      <c r="G73" s="3" t="s">
        <v>36</v>
      </c>
      <c r="H73" s="4">
        <v>1</v>
      </c>
      <c r="I73" s="3" t="s">
        <v>74</v>
      </c>
      <c r="J73" s="3" t="s">
        <v>309</v>
      </c>
    </row>
    <row r="74" spans="1:10" x14ac:dyDescent="0.35">
      <c r="A74" s="4" t="s">
        <v>313</v>
      </c>
      <c r="B74" s="3" t="s">
        <v>39</v>
      </c>
      <c r="C74" s="3" t="s">
        <v>305</v>
      </c>
      <c r="D74" s="3" t="s">
        <v>314</v>
      </c>
      <c r="E74" s="3" t="s">
        <v>315</v>
      </c>
      <c r="F74" s="4" t="s">
        <v>87</v>
      </c>
      <c r="G74" s="3" t="s">
        <v>36</v>
      </c>
      <c r="H74" s="4">
        <v>2</v>
      </c>
      <c r="I74" s="3" t="s">
        <v>74</v>
      </c>
      <c r="J74" s="3" t="s">
        <v>309</v>
      </c>
    </row>
    <row r="75" spans="1:10" x14ac:dyDescent="0.35">
      <c r="A75" s="4" t="s">
        <v>316</v>
      </c>
      <c r="B75" s="3" t="s">
        <v>39</v>
      </c>
      <c r="C75" s="3" t="s">
        <v>305</v>
      </c>
      <c r="D75" s="3" t="s">
        <v>317</v>
      </c>
      <c r="E75" s="3" t="s">
        <v>318</v>
      </c>
      <c r="F75" s="4" t="s">
        <v>87</v>
      </c>
      <c r="G75" s="3" t="s">
        <v>36</v>
      </c>
      <c r="H75" s="4">
        <v>1</v>
      </c>
      <c r="I75" s="3" t="s">
        <v>74</v>
      </c>
      <c r="J75" s="3" t="s">
        <v>309</v>
      </c>
    </row>
    <row r="76" spans="1:10" x14ac:dyDescent="0.35">
      <c r="A76" s="4" t="s">
        <v>319</v>
      </c>
      <c r="B76" s="3" t="s">
        <v>39</v>
      </c>
      <c r="C76" s="3" t="s">
        <v>305</v>
      </c>
      <c r="D76" s="3" t="s">
        <v>320</v>
      </c>
      <c r="E76" s="3" t="s">
        <v>321</v>
      </c>
      <c r="F76" s="4" t="s">
        <v>87</v>
      </c>
      <c r="G76" s="3" t="s">
        <v>36</v>
      </c>
      <c r="H76" s="4">
        <v>1</v>
      </c>
      <c r="I76" s="3" t="s">
        <v>74</v>
      </c>
      <c r="J76" s="3" t="s">
        <v>309</v>
      </c>
    </row>
    <row r="77" spans="1:10" x14ac:dyDescent="0.35">
      <c r="A77" s="4" t="s">
        <v>322</v>
      </c>
      <c r="B77" s="3" t="s">
        <v>39</v>
      </c>
      <c r="C77" s="3" t="s">
        <v>323</v>
      </c>
      <c r="D77" s="3" t="s">
        <v>324</v>
      </c>
      <c r="E77" s="3" t="s">
        <v>325</v>
      </c>
      <c r="F77" s="4" t="s">
        <v>82</v>
      </c>
      <c r="G77" s="3" t="s">
        <v>36</v>
      </c>
      <c r="H77" s="4">
        <v>1</v>
      </c>
      <c r="I77" s="3" t="s">
        <v>326</v>
      </c>
      <c r="J77" s="3" t="s">
        <v>309</v>
      </c>
    </row>
    <row r="78" spans="1:10" x14ac:dyDescent="0.35">
      <c r="A78" s="4" t="s">
        <v>327</v>
      </c>
      <c r="B78" s="3" t="s">
        <v>39</v>
      </c>
      <c r="C78" s="3" t="s">
        <v>323</v>
      </c>
      <c r="D78" s="3" t="s">
        <v>328</v>
      </c>
      <c r="E78" s="3" t="s">
        <v>329</v>
      </c>
      <c r="F78" s="4" t="s">
        <v>73</v>
      </c>
      <c r="G78" s="3" t="s">
        <v>36</v>
      </c>
      <c r="H78" s="4">
        <v>1</v>
      </c>
      <c r="I78" s="3" t="s">
        <v>74</v>
      </c>
      <c r="J78" s="3" t="s">
        <v>309</v>
      </c>
    </row>
    <row r="79" spans="1:10" x14ac:dyDescent="0.35">
      <c r="A79" s="4" t="s">
        <v>330</v>
      </c>
      <c r="B79" s="3" t="s">
        <v>39</v>
      </c>
      <c r="C79" s="3" t="s">
        <v>323</v>
      </c>
      <c r="D79" s="3" t="s">
        <v>331</v>
      </c>
      <c r="E79" s="3" t="s">
        <v>332</v>
      </c>
      <c r="F79" s="4" t="s">
        <v>73</v>
      </c>
      <c r="G79" s="3" t="s">
        <v>36</v>
      </c>
      <c r="H79" s="4">
        <v>1</v>
      </c>
      <c r="I79" s="3" t="s">
        <v>74</v>
      </c>
      <c r="J79" s="3" t="s">
        <v>309</v>
      </c>
    </row>
    <row r="80" spans="1:10" x14ac:dyDescent="0.35">
      <c r="A80" s="4" t="s">
        <v>333</v>
      </c>
      <c r="B80" s="3" t="s">
        <v>39</v>
      </c>
      <c r="C80" s="3" t="s">
        <v>323</v>
      </c>
      <c r="D80" s="3" t="s">
        <v>334</v>
      </c>
      <c r="E80" s="3" t="s">
        <v>335</v>
      </c>
      <c r="F80" s="4" t="s">
        <v>87</v>
      </c>
      <c r="G80" s="3" t="s">
        <v>36</v>
      </c>
      <c r="H80" s="4">
        <v>1</v>
      </c>
      <c r="I80" s="3" t="s">
        <v>74</v>
      </c>
      <c r="J80" s="3" t="s">
        <v>309</v>
      </c>
    </row>
    <row r="81" spans="1:10" x14ac:dyDescent="0.35">
      <c r="A81" s="4" t="s">
        <v>336</v>
      </c>
      <c r="B81" s="3" t="s">
        <v>39</v>
      </c>
      <c r="C81" s="3" t="s">
        <v>323</v>
      </c>
      <c r="D81" s="3" t="s">
        <v>337</v>
      </c>
      <c r="E81" s="3" t="s">
        <v>338</v>
      </c>
      <c r="F81" s="4" t="s">
        <v>87</v>
      </c>
      <c r="G81" s="3" t="s">
        <v>36</v>
      </c>
      <c r="H81" s="4">
        <v>1</v>
      </c>
      <c r="I81" s="3" t="s">
        <v>74</v>
      </c>
      <c r="J81" s="3" t="s">
        <v>309</v>
      </c>
    </row>
    <row r="82" spans="1:10" ht="25" x14ac:dyDescent="0.35">
      <c r="A82" s="4" t="s">
        <v>339</v>
      </c>
      <c r="B82" s="3" t="s">
        <v>39</v>
      </c>
      <c r="C82" s="3" t="s">
        <v>340</v>
      </c>
      <c r="D82" s="3" t="s">
        <v>341</v>
      </c>
      <c r="E82" s="3" t="s">
        <v>342</v>
      </c>
      <c r="F82" s="4" t="s">
        <v>82</v>
      </c>
      <c r="G82" s="3" t="s">
        <v>36</v>
      </c>
      <c r="H82" s="4">
        <v>1</v>
      </c>
      <c r="I82" s="3" t="s">
        <v>326</v>
      </c>
      <c r="J82" s="3" t="s">
        <v>309</v>
      </c>
    </row>
    <row r="83" spans="1:10" ht="25" x14ac:dyDescent="0.35">
      <c r="A83" s="4" t="s">
        <v>343</v>
      </c>
      <c r="B83" s="3" t="s">
        <v>39</v>
      </c>
      <c r="C83" s="3" t="s">
        <v>340</v>
      </c>
      <c r="D83" s="3" t="s">
        <v>344</v>
      </c>
      <c r="E83" s="3" t="s">
        <v>345</v>
      </c>
      <c r="F83" s="4" t="s">
        <v>73</v>
      </c>
      <c r="G83" s="3" t="s">
        <v>36</v>
      </c>
      <c r="H83" s="4">
        <v>1</v>
      </c>
      <c r="I83" s="3" t="s">
        <v>74</v>
      </c>
      <c r="J83" s="3" t="s">
        <v>309</v>
      </c>
    </row>
    <row r="84" spans="1:10" ht="25" x14ac:dyDescent="0.35">
      <c r="A84" s="4" t="s">
        <v>346</v>
      </c>
      <c r="B84" s="3" t="s">
        <v>39</v>
      </c>
      <c r="C84" s="3" t="s">
        <v>340</v>
      </c>
      <c r="D84" s="3" t="s">
        <v>347</v>
      </c>
      <c r="E84" s="3" t="s">
        <v>348</v>
      </c>
      <c r="F84" s="4" t="s">
        <v>31</v>
      </c>
      <c r="G84" s="3" t="s">
        <v>36</v>
      </c>
      <c r="H84" s="4">
        <v>1</v>
      </c>
      <c r="I84" s="3" t="s">
        <v>134</v>
      </c>
      <c r="J84" s="3" t="s">
        <v>309</v>
      </c>
    </row>
    <row r="85" spans="1:10" ht="25" x14ac:dyDescent="0.35">
      <c r="A85" s="4" t="s">
        <v>349</v>
      </c>
      <c r="B85" s="3" t="s">
        <v>39</v>
      </c>
      <c r="C85" s="3" t="s">
        <v>340</v>
      </c>
      <c r="D85" s="3" t="s">
        <v>350</v>
      </c>
      <c r="E85" s="3" t="s">
        <v>351</v>
      </c>
      <c r="F85" s="4" t="s">
        <v>82</v>
      </c>
      <c r="G85" s="3" t="s">
        <v>36</v>
      </c>
      <c r="H85" s="4">
        <v>1</v>
      </c>
      <c r="I85" s="3" t="s">
        <v>83</v>
      </c>
      <c r="J85" s="3" t="s">
        <v>309</v>
      </c>
    </row>
    <row r="86" spans="1:10" ht="25" x14ac:dyDescent="0.35">
      <c r="A86" s="4" t="s">
        <v>352</v>
      </c>
      <c r="B86" s="3" t="s">
        <v>39</v>
      </c>
      <c r="C86" s="3" t="s">
        <v>340</v>
      </c>
      <c r="D86" s="3" t="s">
        <v>353</v>
      </c>
      <c r="E86" s="3" t="s">
        <v>354</v>
      </c>
      <c r="F86" s="4" t="s">
        <v>31</v>
      </c>
      <c r="G86" s="3" t="s">
        <v>36</v>
      </c>
      <c r="H86" s="4">
        <v>1</v>
      </c>
      <c r="I86" s="3" t="s">
        <v>134</v>
      </c>
      <c r="J86" s="3" t="s">
        <v>309</v>
      </c>
    </row>
    <row r="87" spans="1:10" x14ac:dyDescent="0.35">
      <c r="A87" s="4" t="s">
        <v>355</v>
      </c>
      <c r="B87" s="3" t="s">
        <v>39</v>
      </c>
      <c r="C87" s="3" t="s">
        <v>356</v>
      </c>
      <c r="D87" s="3" t="s">
        <v>357</v>
      </c>
      <c r="E87" s="3" t="s">
        <v>358</v>
      </c>
      <c r="F87" s="4" t="s">
        <v>82</v>
      </c>
      <c r="G87" s="3" t="s">
        <v>36</v>
      </c>
      <c r="H87" s="4">
        <v>1</v>
      </c>
      <c r="I87" s="3" t="s">
        <v>359</v>
      </c>
      <c r="J87" s="3" t="s">
        <v>309</v>
      </c>
    </row>
    <row r="88" spans="1:10" x14ac:dyDescent="0.35">
      <c r="A88" s="4" t="s">
        <v>360</v>
      </c>
      <c r="B88" s="3" t="s">
        <v>39</v>
      </c>
      <c r="C88" s="3" t="s">
        <v>356</v>
      </c>
      <c r="D88" s="3" t="s">
        <v>361</v>
      </c>
      <c r="E88" s="3" t="s">
        <v>362</v>
      </c>
      <c r="F88" s="4" t="s">
        <v>73</v>
      </c>
      <c r="G88" s="3" t="s">
        <v>36</v>
      </c>
      <c r="H88" s="4">
        <v>1</v>
      </c>
      <c r="I88" s="3" t="s">
        <v>74</v>
      </c>
      <c r="J88" s="3" t="s">
        <v>309</v>
      </c>
    </row>
    <row r="89" spans="1:10" ht="25" x14ac:dyDescent="0.35">
      <c r="A89" s="4" t="s">
        <v>363</v>
      </c>
      <c r="B89" s="3" t="s">
        <v>39</v>
      </c>
      <c r="C89" s="3" t="s">
        <v>356</v>
      </c>
      <c r="D89" s="3" t="s">
        <v>364</v>
      </c>
      <c r="E89" s="3" t="s">
        <v>365</v>
      </c>
      <c r="F89" s="4" t="s">
        <v>73</v>
      </c>
      <c r="G89" s="3" t="s">
        <v>36</v>
      </c>
      <c r="H89" s="4">
        <v>1</v>
      </c>
      <c r="I89" s="3" t="s">
        <v>74</v>
      </c>
      <c r="J89" s="3" t="s">
        <v>309</v>
      </c>
    </row>
    <row r="90" spans="1:10" x14ac:dyDescent="0.35">
      <c r="A90" s="4" t="s">
        <v>366</v>
      </c>
      <c r="B90" s="3" t="s">
        <v>39</v>
      </c>
      <c r="C90" s="3" t="s">
        <v>356</v>
      </c>
      <c r="D90" s="3" t="s">
        <v>367</v>
      </c>
      <c r="E90" s="3" t="s">
        <v>368</v>
      </c>
      <c r="F90" s="4" t="s">
        <v>82</v>
      </c>
      <c r="G90" s="3" t="s">
        <v>36</v>
      </c>
      <c r="H90" s="4">
        <v>1</v>
      </c>
      <c r="I90" s="3" t="s">
        <v>326</v>
      </c>
      <c r="J90" s="3" t="s">
        <v>309</v>
      </c>
    </row>
    <row r="91" spans="1:10" x14ac:dyDescent="0.35">
      <c r="A91" s="4" t="s">
        <v>369</v>
      </c>
      <c r="B91" s="3" t="s">
        <v>39</v>
      </c>
      <c r="C91" s="3" t="s">
        <v>356</v>
      </c>
      <c r="D91" s="3" t="s">
        <v>370</v>
      </c>
      <c r="E91" s="3" t="s">
        <v>371</v>
      </c>
      <c r="F91" s="4" t="s">
        <v>82</v>
      </c>
      <c r="G91" s="3" t="s">
        <v>36</v>
      </c>
      <c r="H91" s="4">
        <v>1</v>
      </c>
      <c r="I91" s="3" t="s">
        <v>83</v>
      </c>
      <c r="J91" s="3" t="s">
        <v>309</v>
      </c>
    </row>
    <row r="92" spans="1:10" x14ac:dyDescent="0.35">
      <c r="A92" s="4" t="s">
        <v>372</v>
      </c>
      <c r="B92" s="3" t="s">
        <v>39</v>
      </c>
      <c r="C92" s="3" t="s">
        <v>305</v>
      </c>
      <c r="D92" s="3" t="s">
        <v>373</v>
      </c>
      <c r="E92" s="3" t="s">
        <v>374</v>
      </c>
      <c r="F92" s="4" t="s">
        <v>31</v>
      </c>
      <c r="G92" s="3" t="s">
        <v>27</v>
      </c>
      <c r="H92" s="4">
        <v>1</v>
      </c>
      <c r="I92" s="3" t="s">
        <v>244</v>
      </c>
      <c r="J92" s="3" t="s">
        <v>375</v>
      </c>
    </row>
    <row r="93" spans="1:10" x14ac:dyDescent="0.35">
      <c r="A93" s="4" t="s">
        <v>376</v>
      </c>
      <c r="B93" s="3" t="s">
        <v>39</v>
      </c>
      <c r="C93" s="3" t="s">
        <v>305</v>
      </c>
      <c r="D93" s="3" t="s">
        <v>377</v>
      </c>
      <c r="E93" s="3" t="s">
        <v>378</v>
      </c>
      <c r="F93" s="4" t="s">
        <v>31</v>
      </c>
      <c r="G93" s="3" t="s">
        <v>27</v>
      </c>
      <c r="H93" s="4">
        <v>1</v>
      </c>
      <c r="I93" s="3" t="s">
        <v>134</v>
      </c>
      <c r="J93" s="3" t="s">
        <v>375</v>
      </c>
    </row>
    <row r="94" spans="1:10" x14ac:dyDescent="0.35">
      <c r="A94" s="4" t="s">
        <v>379</v>
      </c>
      <c r="B94" s="3" t="s">
        <v>39</v>
      </c>
      <c r="C94" s="3" t="s">
        <v>305</v>
      </c>
      <c r="D94" s="3" t="s">
        <v>380</v>
      </c>
      <c r="E94" s="3" t="s">
        <v>381</v>
      </c>
      <c r="F94" s="4" t="s">
        <v>82</v>
      </c>
      <c r="G94" s="3" t="s">
        <v>27</v>
      </c>
      <c r="H94" s="4">
        <v>4</v>
      </c>
      <c r="I94" s="3" t="s">
        <v>83</v>
      </c>
      <c r="J94" s="3" t="s">
        <v>375</v>
      </c>
    </row>
    <row r="95" spans="1:10" x14ac:dyDescent="0.35">
      <c r="A95" s="4" t="s">
        <v>382</v>
      </c>
      <c r="B95" s="3" t="s">
        <v>39</v>
      </c>
      <c r="C95" s="3" t="s">
        <v>305</v>
      </c>
      <c r="D95" s="3" t="s">
        <v>383</v>
      </c>
      <c r="E95" s="3" t="s">
        <v>384</v>
      </c>
      <c r="F95" s="4" t="s">
        <v>31</v>
      </c>
      <c r="G95" s="3" t="s">
        <v>27</v>
      </c>
      <c r="H95" s="4">
        <v>1</v>
      </c>
      <c r="I95" s="3" t="s">
        <v>134</v>
      </c>
      <c r="J95" s="3" t="s">
        <v>375</v>
      </c>
    </row>
    <row r="96" spans="1:10" x14ac:dyDescent="0.35">
      <c r="A96" s="4" t="s">
        <v>385</v>
      </c>
      <c r="B96" s="3" t="s">
        <v>39</v>
      </c>
      <c r="C96" s="3" t="s">
        <v>305</v>
      </c>
      <c r="D96" s="3" t="s">
        <v>386</v>
      </c>
      <c r="E96" s="3" t="s">
        <v>387</v>
      </c>
      <c r="F96" s="4" t="s">
        <v>31</v>
      </c>
      <c r="G96" s="3" t="s">
        <v>27</v>
      </c>
      <c r="H96" s="4">
        <v>1</v>
      </c>
      <c r="I96" s="3" t="s">
        <v>134</v>
      </c>
      <c r="J96" s="3" t="s">
        <v>375</v>
      </c>
    </row>
    <row r="97" spans="1:10" x14ac:dyDescent="0.35">
      <c r="A97" s="4" t="s">
        <v>388</v>
      </c>
      <c r="B97" s="3" t="s">
        <v>39</v>
      </c>
      <c r="C97" s="3" t="s">
        <v>323</v>
      </c>
      <c r="D97" s="3" t="s">
        <v>389</v>
      </c>
      <c r="E97" s="3" t="s">
        <v>390</v>
      </c>
      <c r="F97" s="4" t="s">
        <v>31</v>
      </c>
      <c r="G97" s="3" t="s">
        <v>27</v>
      </c>
      <c r="H97" s="4">
        <v>1</v>
      </c>
      <c r="I97" s="3" t="s">
        <v>144</v>
      </c>
      <c r="J97" s="3" t="s">
        <v>375</v>
      </c>
    </row>
    <row r="98" spans="1:10" x14ac:dyDescent="0.35">
      <c r="A98" s="4" t="s">
        <v>391</v>
      </c>
      <c r="B98" s="3" t="s">
        <v>39</v>
      </c>
      <c r="C98" s="3" t="s">
        <v>323</v>
      </c>
      <c r="D98" s="3" t="s">
        <v>392</v>
      </c>
      <c r="E98" s="3" t="s">
        <v>393</v>
      </c>
      <c r="F98" s="4" t="s">
        <v>31</v>
      </c>
      <c r="G98" s="3" t="s">
        <v>27</v>
      </c>
      <c r="H98" s="4">
        <v>1</v>
      </c>
      <c r="I98" s="3" t="s">
        <v>134</v>
      </c>
      <c r="J98" s="3" t="s">
        <v>375</v>
      </c>
    </row>
    <row r="99" spans="1:10" x14ac:dyDescent="0.35">
      <c r="A99" s="4" t="s">
        <v>394</v>
      </c>
      <c r="B99" s="3" t="s">
        <v>39</v>
      </c>
      <c r="C99" s="3" t="s">
        <v>323</v>
      </c>
      <c r="D99" s="3" t="s">
        <v>395</v>
      </c>
      <c r="E99" s="3" t="s">
        <v>396</v>
      </c>
      <c r="F99" s="4" t="s">
        <v>82</v>
      </c>
      <c r="G99" s="3" t="s">
        <v>27</v>
      </c>
      <c r="H99" s="4">
        <v>1</v>
      </c>
      <c r="I99" s="3" t="s">
        <v>83</v>
      </c>
      <c r="J99" s="3" t="s">
        <v>375</v>
      </c>
    </row>
    <row r="100" spans="1:10" x14ac:dyDescent="0.35">
      <c r="A100" s="4" t="s">
        <v>397</v>
      </c>
      <c r="B100" s="3" t="s">
        <v>39</v>
      </c>
      <c r="C100" s="3" t="s">
        <v>323</v>
      </c>
      <c r="D100" s="3" t="s">
        <v>398</v>
      </c>
      <c r="E100" s="3" t="s">
        <v>399</v>
      </c>
      <c r="F100" s="4" t="s">
        <v>82</v>
      </c>
      <c r="G100" s="3" t="s">
        <v>27</v>
      </c>
      <c r="H100" s="4">
        <v>1</v>
      </c>
      <c r="I100" s="3" t="s">
        <v>83</v>
      </c>
      <c r="J100" s="3" t="s">
        <v>375</v>
      </c>
    </row>
    <row r="101" spans="1:10" x14ac:dyDescent="0.35">
      <c r="A101" s="4" t="s">
        <v>400</v>
      </c>
      <c r="B101" s="3" t="s">
        <v>39</v>
      </c>
      <c r="C101" s="3" t="s">
        <v>323</v>
      </c>
      <c r="D101" s="3" t="s">
        <v>401</v>
      </c>
      <c r="E101" s="3" t="s">
        <v>402</v>
      </c>
      <c r="F101" s="4" t="s">
        <v>31</v>
      </c>
      <c r="G101" s="3" t="s">
        <v>27</v>
      </c>
      <c r="H101" s="4">
        <v>1</v>
      </c>
      <c r="I101" s="3" t="s">
        <v>134</v>
      </c>
      <c r="J101" s="3" t="s">
        <v>375</v>
      </c>
    </row>
    <row r="102" spans="1:10" ht="25" x14ac:dyDescent="0.35">
      <c r="A102" s="4" t="s">
        <v>403</v>
      </c>
      <c r="B102" s="3" t="s">
        <v>39</v>
      </c>
      <c r="C102" s="3" t="s">
        <v>340</v>
      </c>
      <c r="D102" s="3" t="s">
        <v>404</v>
      </c>
      <c r="E102" s="3" t="s">
        <v>405</v>
      </c>
      <c r="F102" s="4" t="s">
        <v>31</v>
      </c>
      <c r="G102" s="3" t="s">
        <v>27</v>
      </c>
      <c r="H102" s="4">
        <v>1</v>
      </c>
      <c r="I102" s="3" t="s">
        <v>144</v>
      </c>
      <c r="J102" s="3" t="s">
        <v>375</v>
      </c>
    </row>
    <row r="103" spans="1:10" ht="25" x14ac:dyDescent="0.35">
      <c r="A103" s="4" t="s">
        <v>406</v>
      </c>
      <c r="B103" s="3" t="s">
        <v>39</v>
      </c>
      <c r="C103" s="3" t="s">
        <v>340</v>
      </c>
      <c r="D103" s="3" t="s">
        <v>407</v>
      </c>
      <c r="E103" s="3" t="s">
        <v>408</v>
      </c>
      <c r="F103" s="4" t="s">
        <v>82</v>
      </c>
      <c r="G103" s="3" t="s">
        <v>27</v>
      </c>
      <c r="H103" s="4">
        <v>1</v>
      </c>
      <c r="I103" s="3" t="s">
        <v>83</v>
      </c>
      <c r="J103" s="3" t="s">
        <v>375</v>
      </c>
    </row>
    <row r="104" spans="1:10" ht="25" x14ac:dyDescent="0.35">
      <c r="A104" s="4" t="s">
        <v>409</v>
      </c>
      <c r="B104" s="3" t="s">
        <v>39</v>
      </c>
      <c r="C104" s="3" t="s">
        <v>340</v>
      </c>
      <c r="D104" s="3" t="s">
        <v>410</v>
      </c>
      <c r="E104" s="3" t="s">
        <v>411</v>
      </c>
      <c r="F104" s="4" t="s">
        <v>31</v>
      </c>
      <c r="G104" s="3" t="s">
        <v>27</v>
      </c>
      <c r="H104" s="4">
        <v>1</v>
      </c>
      <c r="I104" s="3" t="s">
        <v>134</v>
      </c>
      <c r="J104" s="3" t="s">
        <v>375</v>
      </c>
    </row>
    <row r="105" spans="1:10" ht="25" x14ac:dyDescent="0.35">
      <c r="A105" s="4" t="s">
        <v>412</v>
      </c>
      <c r="B105" s="3" t="s">
        <v>39</v>
      </c>
      <c r="C105" s="3" t="s">
        <v>340</v>
      </c>
      <c r="D105" s="3" t="s">
        <v>413</v>
      </c>
      <c r="E105" s="3" t="s">
        <v>414</v>
      </c>
      <c r="F105" s="4" t="s">
        <v>31</v>
      </c>
      <c r="G105" s="3" t="s">
        <v>27</v>
      </c>
      <c r="H105" s="4">
        <v>1</v>
      </c>
      <c r="I105" s="3" t="s">
        <v>134</v>
      </c>
      <c r="J105" s="3" t="s">
        <v>375</v>
      </c>
    </row>
    <row r="106" spans="1:10" ht="25" x14ac:dyDescent="0.35">
      <c r="A106" s="4" t="s">
        <v>415</v>
      </c>
      <c r="B106" s="3" t="s">
        <v>39</v>
      </c>
      <c r="C106" s="3" t="s">
        <v>340</v>
      </c>
      <c r="D106" s="3" t="s">
        <v>416</v>
      </c>
      <c r="E106" s="3" t="s">
        <v>417</v>
      </c>
      <c r="F106" s="4" t="s">
        <v>31</v>
      </c>
      <c r="G106" s="3" t="s">
        <v>27</v>
      </c>
      <c r="H106" s="4">
        <v>1</v>
      </c>
      <c r="I106" s="3" t="s">
        <v>134</v>
      </c>
      <c r="J106" s="3" t="s">
        <v>375</v>
      </c>
    </row>
    <row r="107" spans="1:10" x14ac:dyDescent="0.35">
      <c r="A107" s="4" t="s">
        <v>418</v>
      </c>
      <c r="B107" s="3" t="s">
        <v>39</v>
      </c>
      <c r="C107" s="3" t="s">
        <v>356</v>
      </c>
      <c r="D107" s="3" t="s">
        <v>419</v>
      </c>
      <c r="E107" s="3" t="s">
        <v>420</v>
      </c>
      <c r="F107" s="4" t="s">
        <v>31</v>
      </c>
      <c r="G107" s="3" t="s">
        <v>27</v>
      </c>
      <c r="H107" s="4">
        <v>1</v>
      </c>
      <c r="I107" s="3" t="s">
        <v>144</v>
      </c>
      <c r="J107" s="3" t="s">
        <v>375</v>
      </c>
    </row>
    <row r="108" spans="1:10" x14ac:dyDescent="0.35">
      <c r="A108" s="4" t="s">
        <v>421</v>
      </c>
      <c r="B108" s="3" t="s">
        <v>39</v>
      </c>
      <c r="C108" s="3" t="s">
        <v>356</v>
      </c>
      <c r="D108" s="3" t="s">
        <v>422</v>
      </c>
      <c r="E108" s="3" t="s">
        <v>423</v>
      </c>
      <c r="F108" s="4" t="s">
        <v>31</v>
      </c>
      <c r="G108" s="3" t="s">
        <v>27</v>
      </c>
      <c r="H108" s="4">
        <v>1</v>
      </c>
      <c r="I108" s="3" t="s">
        <v>134</v>
      </c>
      <c r="J108" s="3" t="s">
        <v>375</v>
      </c>
    </row>
    <row r="109" spans="1:10" x14ac:dyDescent="0.35">
      <c r="A109" s="4" t="s">
        <v>424</v>
      </c>
      <c r="B109" s="3" t="s">
        <v>39</v>
      </c>
      <c r="C109" s="3" t="s">
        <v>356</v>
      </c>
      <c r="D109" s="3" t="s">
        <v>425</v>
      </c>
      <c r="E109" s="3" t="s">
        <v>426</v>
      </c>
      <c r="F109" s="4" t="s">
        <v>31</v>
      </c>
      <c r="G109" s="3" t="s">
        <v>27</v>
      </c>
      <c r="H109" s="4">
        <v>1</v>
      </c>
      <c r="I109" s="3" t="s">
        <v>134</v>
      </c>
      <c r="J109" s="3" t="s">
        <v>375</v>
      </c>
    </row>
    <row r="110" spans="1:10" x14ac:dyDescent="0.35">
      <c r="A110" s="4" t="s">
        <v>427</v>
      </c>
      <c r="B110" s="3" t="s">
        <v>39</v>
      </c>
      <c r="C110" s="3" t="s">
        <v>356</v>
      </c>
      <c r="D110" s="3" t="s">
        <v>428</v>
      </c>
      <c r="E110" s="3" t="s">
        <v>429</v>
      </c>
      <c r="F110" s="4" t="s">
        <v>31</v>
      </c>
      <c r="G110" s="3" t="s">
        <v>27</v>
      </c>
      <c r="H110" s="4">
        <v>1</v>
      </c>
      <c r="I110" s="3" t="s">
        <v>134</v>
      </c>
      <c r="J110" s="3" t="s">
        <v>375</v>
      </c>
    </row>
    <row r="111" spans="1:10" x14ac:dyDescent="0.35">
      <c r="A111" s="4" t="s">
        <v>430</v>
      </c>
      <c r="B111" s="3" t="s">
        <v>39</v>
      </c>
      <c r="C111" s="3" t="s">
        <v>356</v>
      </c>
      <c r="D111" s="3" t="s">
        <v>431</v>
      </c>
      <c r="E111" s="3" t="s">
        <v>432</v>
      </c>
      <c r="F111" s="4" t="s">
        <v>31</v>
      </c>
      <c r="G111" s="3" t="s">
        <v>27</v>
      </c>
      <c r="H111" s="4">
        <v>1</v>
      </c>
      <c r="I111" s="3" t="s">
        <v>134</v>
      </c>
      <c r="J111" s="3" t="s">
        <v>375</v>
      </c>
    </row>
    <row r="112" spans="1:10" x14ac:dyDescent="0.35">
      <c r="A112" s="4" t="s">
        <v>433</v>
      </c>
      <c r="B112" s="3" t="s">
        <v>39</v>
      </c>
      <c r="C112" s="3" t="s">
        <v>356</v>
      </c>
      <c r="D112" s="3" t="s">
        <v>434</v>
      </c>
      <c r="E112" s="3" t="s">
        <v>435</v>
      </c>
      <c r="F112" s="4" t="s">
        <v>31</v>
      </c>
      <c r="G112" s="3" t="s">
        <v>27</v>
      </c>
      <c r="H112" s="4">
        <v>1</v>
      </c>
      <c r="I112" s="3" t="s">
        <v>134</v>
      </c>
      <c r="J112" s="3" t="s">
        <v>375</v>
      </c>
    </row>
  </sheetData>
  <autoFilter ref="A1:J112" xr:uid="{00000000-0009-0000-0000-000002000000}"/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F17"/>
  <sheetViews>
    <sheetView zoomScale="60" zoomScaleNormal="100" workbookViewId="0">
      <selection activeCell="D23" sqref="D23"/>
    </sheetView>
  </sheetViews>
  <sheetFormatPr defaultColWidth="8.6328125" defaultRowHeight="14.5" x14ac:dyDescent="0.35"/>
  <cols>
    <col min="1" max="1" width="30" customWidth="1"/>
    <col min="2" max="2" width="46" customWidth="1"/>
    <col min="3" max="4" width="16" customWidth="1"/>
    <col min="5" max="6" width="10" customWidth="1"/>
  </cols>
  <sheetData>
    <row r="1" spans="1:6" x14ac:dyDescent="0.35">
      <c r="A1" s="5"/>
    </row>
    <row r="3" spans="1:6" ht="30" customHeight="1" x14ac:dyDescent="0.35">
      <c r="A3" s="9" t="s">
        <v>8</v>
      </c>
      <c r="B3" s="9" t="s">
        <v>63</v>
      </c>
      <c r="C3" s="9" t="s">
        <v>27</v>
      </c>
      <c r="D3" s="9" t="s">
        <v>36</v>
      </c>
      <c r="E3" s="9" t="s">
        <v>436</v>
      </c>
      <c r="F3" s="9" t="s">
        <v>437</v>
      </c>
    </row>
    <row r="4" spans="1:6" x14ac:dyDescent="0.35">
      <c r="A4" s="3" t="s">
        <v>20</v>
      </c>
      <c r="B4" s="3" t="s">
        <v>70</v>
      </c>
      <c r="C4" s="4">
        <f>COUNTIFS('Test Inventory'!$B$2:$B$112,$A4,'Test Inventory'!$C$2:$C$112,$B4,'Test Inventory'!$G$2:$G$112,C$3)</f>
        <v>5</v>
      </c>
      <c r="D4" s="4">
        <f>COUNTIFS('Test Inventory'!$B$2:$B$112,$A4,'Test Inventory'!$C$2:$C$112,$B4,'Test Inventory'!$G$2:$G$112,D$3)</f>
        <v>5</v>
      </c>
      <c r="E4" s="4">
        <f t="shared" ref="E4:E14" si="0">C4+D4</f>
        <v>10</v>
      </c>
      <c r="F4" s="4" t="str">
        <f t="shared" ref="F4:F14" si="1">IF(AND(C4&gt;=5,C4&lt;=10,D4&gt;=5,D4&lt;=10),"OK","CHECK")</f>
        <v>OK</v>
      </c>
    </row>
    <row r="5" spans="1:6" x14ac:dyDescent="0.35">
      <c r="A5" s="3" t="s">
        <v>20</v>
      </c>
      <c r="B5" s="3" t="s">
        <v>92</v>
      </c>
      <c r="C5" s="4">
        <f>COUNTIFS('Test Inventory'!$B$2:$B$112,$A5,'Test Inventory'!$C$2:$C$112,$B5,'Test Inventory'!$G$2:$G$112,C$3)</f>
        <v>5</v>
      </c>
      <c r="D5" s="4">
        <f>COUNTIFS('Test Inventory'!$B$2:$B$112,$A5,'Test Inventory'!$C$2:$C$112,$B5,'Test Inventory'!$G$2:$G$112,D$3)</f>
        <v>5</v>
      </c>
      <c r="E5" s="4">
        <f t="shared" si="0"/>
        <v>10</v>
      </c>
      <c r="F5" s="4" t="str">
        <f t="shared" si="1"/>
        <v>OK</v>
      </c>
    </row>
    <row r="6" spans="1:6" x14ac:dyDescent="0.35">
      <c r="A6" s="3" t="s">
        <v>20</v>
      </c>
      <c r="B6" s="3" t="s">
        <v>108</v>
      </c>
      <c r="C6" s="4">
        <f>COUNTIFS('Test Inventory'!$B$2:$B$112,$A6,'Test Inventory'!$C$2:$C$112,$B6,'Test Inventory'!$G$2:$G$112,C$3)</f>
        <v>5</v>
      </c>
      <c r="D6" s="4">
        <f>COUNTIFS('Test Inventory'!$B$2:$B$112,$A6,'Test Inventory'!$C$2:$C$112,$B6,'Test Inventory'!$G$2:$G$112,D$3)</f>
        <v>5</v>
      </c>
      <c r="E6" s="4">
        <f t="shared" si="0"/>
        <v>10</v>
      </c>
      <c r="F6" s="4" t="str">
        <f t="shared" si="1"/>
        <v>OK</v>
      </c>
    </row>
    <row r="7" spans="1:6" x14ac:dyDescent="0.35">
      <c r="A7" s="3" t="s">
        <v>55</v>
      </c>
      <c r="B7" s="3" t="s">
        <v>174</v>
      </c>
      <c r="C7" s="4">
        <f>COUNTIFS('Test Inventory'!$B$2:$B$112,$A7,'Test Inventory'!$C$2:$C$112,$B7,'Test Inventory'!$G$2:$G$112,C$3)</f>
        <v>5</v>
      </c>
      <c r="D7" s="4">
        <f>COUNTIFS('Test Inventory'!$B$2:$B$112,$A7,'Test Inventory'!$C$2:$C$112,$B7,'Test Inventory'!$G$2:$G$112,D$3)</f>
        <v>5</v>
      </c>
      <c r="E7" s="4">
        <f t="shared" si="0"/>
        <v>10</v>
      </c>
      <c r="F7" s="4" t="str">
        <f t="shared" si="1"/>
        <v>OK</v>
      </c>
    </row>
    <row r="8" spans="1:6" x14ac:dyDescent="0.35">
      <c r="A8" s="3" t="s">
        <v>55</v>
      </c>
      <c r="B8" s="3" t="s">
        <v>192</v>
      </c>
      <c r="C8" s="4">
        <f>COUNTIFS('Test Inventory'!$B$2:$B$112,$A8,'Test Inventory'!$C$2:$C$112,$B8,'Test Inventory'!$G$2:$G$112,C$3)</f>
        <v>5</v>
      </c>
      <c r="D8" s="4">
        <f>COUNTIFS('Test Inventory'!$B$2:$B$112,$A8,'Test Inventory'!$C$2:$C$112,$B8,'Test Inventory'!$G$2:$G$112,D$3)</f>
        <v>5</v>
      </c>
      <c r="E8" s="4">
        <f t="shared" si="0"/>
        <v>10</v>
      </c>
      <c r="F8" s="4" t="str">
        <f t="shared" si="1"/>
        <v>OK</v>
      </c>
    </row>
    <row r="9" spans="1:6" x14ac:dyDescent="0.35">
      <c r="A9" s="3" t="s">
        <v>55</v>
      </c>
      <c r="B9" s="3" t="s">
        <v>209</v>
      </c>
      <c r="C9" s="4">
        <f>COUNTIFS('Test Inventory'!$B$2:$B$112,$A9,'Test Inventory'!$C$2:$C$112,$B9,'Test Inventory'!$G$2:$G$112,C$3)</f>
        <v>5</v>
      </c>
      <c r="D9" s="4">
        <f>COUNTIFS('Test Inventory'!$B$2:$B$112,$A9,'Test Inventory'!$C$2:$C$112,$B9,'Test Inventory'!$G$2:$G$112,D$3)</f>
        <v>5</v>
      </c>
      <c r="E9" s="4">
        <f t="shared" si="0"/>
        <v>10</v>
      </c>
      <c r="F9" s="4" t="str">
        <f t="shared" si="1"/>
        <v>OK</v>
      </c>
    </row>
    <row r="10" spans="1:6" x14ac:dyDescent="0.35">
      <c r="A10" s="3" t="s">
        <v>55</v>
      </c>
      <c r="B10" s="3" t="s">
        <v>225</v>
      </c>
      <c r="C10" s="4">
        <f>COUNTIFS('Test Inventory'!$B$2:$B$112,$A10,'Test Inventory'!$C$2:$C$112,$B10,'Test Inventory'!$G$2:$G$112,C$3)</f>
        <v>5</v>
      </c>
      <c r="D10" s="4">
        <f>COUNTIFS('Test Inventory'!$B$2:$B$112,$A10,'Test Inventory'!$C$2:$C$112,$B10,'Test Inventory'!$G$2:$G$112,D$3)</f>
        <v>5</v>
      </c>
      <c r="E10" s="4">
        <f t="shared" si="0"/>
        <v>10</v>
      </c>
      <c r="F10" s="4" t="str">
        <f t="shared" si="1"/>
        <v>OK</v>
      </c>
    </row>
    <row r="11" spans="1:6" x14ac:dyDescent="0.35">
      <c r="A11" s="3" t="s">
        <v>39</v>
      </c>
      <c r="B11" s="3" t="s">
        <v>305</v>
      </c>
      <c r="C11" s="4">
        <f>COUNTIFS('Test Inventory'!$B$2:$B$112,$A11,'Test Inventory'!$C$2:$C$112,$B11,'Test Inventory'!$G$2:$G$112,C$3)</f>
        <v>5</v>
      </c>
      <c r="D11" s="4">
        <f>COUNTIFS('Test Inventory'!$B$2:$B$112,$A11,'Test Inventory'!$C$2:$C$112,$B11,'Test Inventory'!$G$2:$G$112,D$3)</f>
        <v>5</v>
      </c>
      <c r="E11" s="4">
        <f t="shared" si="0"/>
        <v>10</v>
      </c>
      <c r="F11" s="4" t="str">
        <f t="shared" si="1"/>
        <v>OK</v>
      </c>
    </row>
    <row r="12" spans="1:6" x14ac:dyDescent="0.35">
      <c r="A12" s="3" t="s">
        <v>39</v>
      </c>
      <c r="B12" s="3" t="s">
        <v>323</v>
      </c>
      <c r="C12" s="4">
        <f>COUNTIFS('Test Inventory'!$B$2:$B$112,$A12,'Test Inventory'!$C$2:$C$112,$B12,'Test Inventory'!$G$2:$G$112,C$3)</f>
        <v>5</v>
      </c>
      <c r="D12" s="4">
        <f>COUNTIFS('Test Inventory'!$B$2:$B$112,$A12,'Test Inventory'!$C$2:$C$112,$B12,'Test Inventory'!$G$2:$G$112,D$3)</f>
        <v>5</v>
      </c>
      <c r="E12" s="4">
        <f t="shared" si="0"/>
        <v>10</v>
      </c>
      <c r="F12" s="4" t="str">
        <f t="shared" si="1"/>
        <v>OK</v>
      </c>
    </row>
    <row r="13" spans="1:6" x14ac:dyDescent="0.35">
      <c r="A13" s="3" t="s">
        <v>39</v>
      </c>
      <c r="B13" s="3" t="s">
        <v>340</v>
      </c>
      <c r="C13" s="4">
        <f>COUNTIFS('Test Inventory'!$B$2:$B$112,$A13,'Test Inventory'!$C$2:$C$112,$B13,'Test Inventory'!$G$2:$G$112,C$3)</f>
        <v>5</v>
      </c>
      <c r="D13" s="4">
        <f>COUNTIFS('Test Inventory'!$B$2:$B$112,$A13,'Test Inventory'!$C$2:$C$112,$B13,'Test Inventory'!$G$2:$G$112,D$3)</f>
        <v>5</v>
      </c>
      <c r="E13" s="4">
        <f t="shared" si="0"/>
        <v>10</v>
      </c>
      <c r="F13" s="4" t="str">
        <f t="shared" si="1"/>
        <v>OK</v>
      </c>
    </row>
    <row r="14" spans="1:6" x14ac:dyDescent="0.35">
      <c r="A14" s="3" t="s">
        <v>39</v>
      </c>
      <c r="B14" s="3" t="s">
        <v>356</v>
      </c>
      <c r="C14" s="4">
        <f>COUNTIFS('Test Inventory'!$B$2:$B$112,$A14,'Test Inventory'!$C$2:$C$112,$B14,'Test Inventory'!$G$2:$G$112,C$3)</f>
        <v>6</v>
      </c>
      <c r="D14" s="4">
        <f>COUNTIFS('Test Inventory'!$B$2:$B$112,$A14,'Test Inventory'!$C$2:$C$112,$B14,'Test Inventory'!$G$2:$G$112,D$3)</f>
        <v>5</v>
      </c>
      <c r="E14" s="4">
        <f t="shared" si="0"/>
        <v>11</v>
      </c>
      <c r="F14" s="4" t="str">
        <f t="shared" si="1"/>
        <v>OK</v>
      </c>
    </row>
    <row r="15" spans="1:6" x14ac:dyDescent="0.35">
      <c r="B15" s="6" t="s">
        <v>438</v>
      </c>
      <c r="C15" s="2">
        <f>SUM(C4:C14)</f>
        <v>56</v>
      </c>
      <c r="D15" s="2">
        <f>SUM(D4:D14)</f>
        <v>55</v>
      </c>
      <c r="E15" s="2">
        <f>SUM(E4:E14)</f>
        <v>111</v>
      </c>
    </row>
    <row r="17" spans="1:5" x14ac:dyDescent="0.35">
      <c r="A17" s="6" t="s">
        <v>439</v>
      </c>
      <c r="C17" s="7">
        <f>SUMIFS('Test Inventory'!$H$2:$H$112,'Test Inventory'!$G$2:$G$112,C$3)</f>
        <v>69</v>
      </c>
      <c r="D17" s="7">
        <f>SUMIFS('Test Inventory'!$H$2:$H$112,'Test Inventory'!$G$2:$G$112,D$3)</f>
        <v>65</v>
      </c>
      <c r="E17" s="7">
        <f>C17+D17</f>
        <v>134</v>
      </c>
    </row>
  </sheetData>
  <conditionalFormatting sqref="F4:F14">
    <cfRule type="cellIs" dxfId="1" priority="2" operator="equal">
      <formula>"OK"</formula>
    </cfRule>
    <cfRule type="cellIs" dxfId="0" priority="3" operator="equal">
      <formula>"CHECK"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D7"/>
  <sheetViews>
    <sheetView tabSelected="1" zoomScale="39" zoomScaleNormal="39" workbookViewId="0">
      <selection activeCell="C16" sqref="C16"/>
    </sheetView>
  </sheetViews>
  <sheetFormatPr defaultColWidth="8.6328125" defaultRowHeight="14.5" x14ac:dyDescent="0.35"/>
  <cols>
    <col min="1" max="1" width="12" customWidth="1"/>
    <col min="2" max="2" width="110" customWidth="1"/>
    <col min="3" max="3" width="60" customWidth="1"/>
    <col min="4" max="4" width="40" customWidth="1"/>
  </cols>
  <sheetData>
    <row r="1" spans="1:4" ht="30" customHeight="1" x14ac:dyDescent="0.35">
      <c r="A1" s="9" t="s">
        <v>440</v>
      </c>
      <c r="B1" s="9" t="s">
        <v>12</v>
      </c>
      <c r="C1" s="9" t="s">
        <v>64</v>
      </c>
      <c r="D1" s="9" t="s">
        <v>441</v>
      </c>
    </row>
    <row r="2" spans="1:4" x14ac:dyDescent="0.35">
      <c r="A2" s="4" t="s">
        <v>442</v>
      </c>
      <c r="B2" s="3" t="s">
        <v>443</v>
      </c>
      <c r="C2" s="3" t="s">
        <v>444</v>
      </c>
      <c r="D2" s="3" t="s">
        <v>445</v>
      </c>
    </row>
    <row r="3" spans="1:4" x14ac:dyDescent="0.35">
      <c r="A3" s="4" t="s">
        <v>446</v>
      </c>
      <c r="B3" s="3" t="s">
        <v>447</v>
      </c>
      <c r="C3" s="3" t="s">
        <v>448</v>
      </c>
      <c r="D3" s="3" t="s">
        <v>445</v>
      </c>
    </row>
    <row r="4" spans="1:4" ht="25" x14ac:dyDescent="0.35">
      <c r="A4" s="4" t="s">
        <v>449</v>
      </c>
      <c r="B4" s="3" t="s">
        <v>450</v>
      </c>
      <c r="C4" s="3" t="s">
        <v>451</v>
      </c>
      <c r="D4" s="3" t="s">
        <v>445</v>
      </c>
    </row>
    <row r="5" spans="1:4" ht="50" x14ac:dyDescent="0.35">
      <c r="A5" s="4" t="s">
        <v>452</v>
      </c>
      <c r="B5" s="3" t="s">
        <v>453</v>
      </c>
      <c r="C5" s="3" t="s">
        <v>454</v>
      </c>
      <c r="D5" s="3" t="s">
        <v>455</v>
      </c>
    </row>
    <row r="6" spans="1:4" ht="37.5" x14ac:dyDescent="0.35">
      <c r="A6" s="4" t="s">
        <v>456</v>
      </c>
      <c r="B6" s="3" t="s">
        <v>457</v>
      </c>
      <c r="C6" s="3" t="s">
        <v>458</v>
      </c>
      <c r="D6" s="3" t="s">
        <v>455</v>
      </c>
    </row>
    <row r="7" spans="1:4" ht="37.5" x14ac:dyDescent="0.35">
      <c r="A7" s="4" t="s">
        <v>459</v>
      </c>
      <c r="B7" s="3" t="s">
        <v>460</v>
      </c>
      <c r="C7" s="3" t="s">
        <v>461</v>
      </c>
      <c r="D7" s="3" t="s">
        <v>455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Read Me</vt:lpstr>
      <vt:lpstr>Data Driven Cases</vt:lpstr>
      <vt:lpstr>Test Inventory</vt:lpstr>
      <vt:lpstr>Coverage Check</vt:lpstr>
      <vt:lpstr>Known Defects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f243044</cp:lastModifiedBy>
  <cp:revision>0</cp:revision>
  <dcterms:created xsi:type="dcterms:W3CDTF">2026-10-16T12:33:10Z</dcterms:created>
  <dcterms:modified xsi:type="dcterms:W3CDTF">2026-10-25T15:06:59Z</dcterms:modified>
  <dc:language>en-US</dc:language>
</cp:coreProperties>
</file>